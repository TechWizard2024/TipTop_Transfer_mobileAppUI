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firstSheet="1" activeTab="3"/>
  </bookViews>
  <sheets>
    <sheet name="Feuil1" sheetId="1" r:id="rId1"/>
    <sheet name="Feuil2" sheetId="2" r:id="rId2"/>
    <sheet name="Feuil3" sheetId="3" r:id="rId3"/>
    <sheet name="Feuil4-Flutter_Build" sheetId="4" r:id="rId4"/>
    <sheet name="Feuil4-Eyeview_Build" sheetId="7" r:id="rId5"/>
  </sheets>
  <definedNames>
    <definedName name="_xlnm._FilterDatabase" localSheetId="0" hidden="1">Feuil1!$A$1:$K$70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48" i="2" l="1"/>
  <c r="C96" i="2"/>
  <c r="C100" i="2"/>
  <c r="C101" i="2"/>
  <c r="C102" i="2"/>
  <c r="C144" i="2"/>
  <c r="C149" i="2"/>
  <c r="C150" i="2"/>
  <c r="C35" i="2"/>
  <c r="C39" i="2"/>
  <c r="C40" i="2"/>
</calcChain>
</file>

<file path=xl/sharedStrings.xml><?xml version="1.0" encoding="utf-8"?>
<sst xmlns="http://schemas.openxmlformats.org/spreadsheetml/2006/main" count="3646" uniqueCount="1190">
  <si>
    <t>Screenshot Wave</t>
  </si>
  <si>
    <t>Screenshot_2026-02-11-19-49-54-891.jpg</t>
  </si>
  <si>
    <t>Screenshot_2026-02-11-19-51-00-818.jpg</t>
  </si>
  <si>
    <t>Screenshot_2026-02-11-19-50-42-139.jpg</t>
  </si>
  <si>
    <t>Screenshot_2026-02-11-19-50-25-695.jpg</t>
  </si>
  <si>
    <t>Screenshot_2026-02-11-20-00-54-346.jpg</t>
  </si>
  <si>
    <t>Screenshot_2026-02-11-19-55-50-453.jpg</t>
  </si>
  <si>
    <t>Screenshot_2026-02-11-19-55-31-617.jpg</t>
  </si>
  <si>
    <t>Screenshot_2026-02-11-19-53-57-285.jpg</t>
  </si>
  <si>
    <t>Screenshot_2026-02-11-19-53-37-106.jpg</t>
  </si>
  <si>
    <t>Screenshot_2026-02-11-19-52-49-013.jpg</t>
  </si>
  <si>
    <t>Screenshot_2026-02-11-19-52-13-105.jpg</t>
  </si>
  <si>
    <t>Screenshot_2026-02-11-19-51-28-144.jpg</t>
  </si>
  <si>
    <t>Screenshot_2026-02-11-20-12-54-806.jpg</t>
  </si>
  <si>
    <t>Screenshot_2026-02-11-19-52-14-105.jpg</t>
  </si>
  <si>
    <t>Screenshot_2026-02-11-20-10-32-614.jpg</t>
  </si>
  <si>
    <t>Screenshot_2026-02-11-19-40-54-891.jpg</t>
  </si>
  <si>
    <t>Screenshot_2026-02-11-20-01-54-346.jpg</t>
  </si>
  <si>
    <t>Screenshot_2026-02-11-19-50-27-891.jpg</t>
  </si>
  <si>
    <t>Screenshot Wave Business</t>
  </si>
  <si>
    <t>Screenshot_2026-02-11-20-35-21-128.jpg</t>
  </si>
  <si>
    <t>Screenshot_2026-02-11-20-34-38-661.jpg</t>
  </si>
  <si>
    <t>Screenshot_2026-02-11-20-33-44-368.jpg</t>
  </si>
  <si>
    <t>Screenshot_2026-02-11-20-21-03-947.jpg</t>
  </si>
  <si>
    <t>Screenshot_2026-02-11-20-38-19-060.jpg</t>
  </si>
  <si>
    <t>Screenshot_2026-02-11-20-21-02-947.jpg</t>
  </si>
  <si>
    <t>Screenshot_2026-02-11-20-43-31-709.jpg</t>
  </si>
  <si>
    <t>Screenshot_2026-02-11-20-39-33-459.jpg</t>
  </si>
  <si>
    <t>Screenshot_2026-02-11-20-39-12-571.jpg</t>
  </si>
  <si>
    <t>Screenshot_2026-02-11-20-39-34-459.jpg</t>
  </si>
  <si>
    <t>Screenshot_2026-02-11-20-37-38-253.jpg</t>
  </si>
  <si>
    <t>Screenshot_2026-02-11-20-36-58-564.jpg</t>
  </si>
  <si>
    <t>Screenshot_2026-02-11-20-36-32-694.jpg</t>
  </si>
  <si>
    <t>Screenshot_2026-02-11-20-35-45-135.jpg</t>
  </si>
  <si>
    <t>Screenshot_2026-02-11-20-21-02-946.jpg</t>
  </si>
  <si>
    <t>Screenshot_2026-02-11-20-48-14-287.jpg</t>
  </si>
  <si>
    <t>Screenshot_2026-02-11-20-47-53-039.jpg</t>
  </si>
  <si>
    <t>Screenshot_2026-02-11-20-46-20-070.jpg</t>
  </si>
  <si>
    <t>Screenshot_2026-02-11-20-46-20-071.jpg</t>
  </si>
  <si>
    <t>Screenshot_2026-02-11-20-44-43-362.jpg</t>
  </si>
  <si>
    <t>Screenshot_2026-02-11-20-44-01-526.jpg</t>
  </si>
  <si>
    <t>Screenshot Wave Agent</t>
  </si>
  <si>
    <t>Screenshot_2026-02-11-20-49-30-036.jpg</t>
  </si>
  <si>
    <t>UI_img_name</t>
  </si>
  <si>
    <t>Comment</t>
  </si>
  <si>
    <t>UI_Description</t>
  </si>
  <si>
    <t>UI_Modification_Requested</t>
  </si>
  <si>
    <t>User_Target</t>
  </si>
  <si>
    <t>Customer</t>
  </si>
  <si>
    <t>Business</t>
  </si>
  <si>
    <t>Agent</t>
  </si>
  <si>
    <t>Screenshot_2026-02-11-20-38-19-059.jpg</t>
  </si>
  <si>
    <t>UI_Name</t>
  </si>
  <si>
    <t>Authentication_PIN</t>
  </si>
  <si>
    <t xml:space="preserve">
1-b-Bouton de selection du type de compte/profil  userProfilType (Personal and Business) en haut à droite (Icon)
5- Section5 : 
     Liste l'historique des transactions
     Ajouter à Chaque ligne de transaction : transaction_type_icon
        - Sous-ligne1: 
                -- (Aligner à gauche)  Icon du type de transaction (transaction_type_icon) suivi de Nom du destinaire suivi de son numero (account_id)
                 transaction_type_icon : 
                       - icon panier d'achat = transaction de type achat
                       - icon flèches haut = transaction de type envoi d'argent
                       - icon flèches bas = transaction de type reception d'argent
        - Sous-ligne2: 
               -- (Aligner à gauche)  Date et Heure sous le format (11 fevr. 2026, 19:16)</t>
  </si>
  <si>
    <t>Screenshot_2026-02-11-19-50-27-696.jpg</t>
  </si>
  <si>
    <t>Screenshot_2026-02-11-19-50-27-695.jpg</t>
  </si>
  <si>
    <t>Screenshot_2026-02-11-19-50-26-695.jpg</t>
  </si>
  <si>
    <t>Screenshot_2026-02-11-19-50-27-698.jpg</t>
  </si>
  <si>
    <t>Screenshot_2026-02-11-19-50-27-697.jpg</t>
  </si>
  <si>
    <t>Screenshot_2026-02-11-19-40-54-892.jpg</t>
  </si>
  <si>
    <t>Fenetre d'Authentication par code PIN avec bouton de suppression pour les telephones qui n'ont pas les capacités suivantes : empreinte digitale ; reconnaissance faciale</t>
  </si>
  <si>
    <t>Authentication_PIN_with_Fingerprint_opt</t>
  </si>
  <si>
    <t>Fenetre d'Authentication par code PIN avec bouton de scan d'empreinte digitale ou bouton de scan faciale pour les telephones qui ont les capacités suivantes : empreinte digitale ; reconnaissance faciale</t>
  </si>
  <si>
    <t>UI_ID</t>
  </si>
  <si>
    <t>UI_Folder_name</t>
  </si>
  <si>
    <t>Target_App</t>
  </si>
  <si>
    <t>TipTop Transfer</t>
  </si>
  <si>
    <t>TipTop Transfer Business</t>
  </si>
  <si>
    <t>TipTop Transfer Agent</t>
  </si>
  <si>
    <t>MainWindow_with_balance_visiblility_on</t>
  </si>
  <si>
    <t>MainWindow_with_balance_visiblility_off</t>
  </si>
  <si>
    <t>- Un padding de 2px est present entre le body de l'app et les bords du telephone
- Créer un système de gestion de la navigation de l'utilisateur à l'interieur de l'app de sorte que si l'utisateur appuie sur le bouton de retour de son telephone, cela le ramène vers la fenetre precedente au lieu de le faire sortir complement de l'app</t>
  </si>
  <si>
    <t xml:space="preserve">les fenetres UI_Name = Authentication_PIN (Screenshot_2026-02-11-19-40-54-891.jpg) et UI_Name = Authentication_PIN_with_Fingerprint_opt (Screenshot_2026-02-11-19-40-54-892.jpg) sont similaires à l'exception du bouton de suppression dans Authentication_PIN qui est remplacé par un bouton de scan d'empreinte digitale ou bouton de scan faciale pour les telephones qui ont les capacités suivantes : empreinte digitale ; reconnaissance faciale </t>
  </si>
  <si>
    <t>Les fenetres UI_Name = MainWindow_with_balance_visiblility_on (Screenshot_2026-02-11-19-49-54-891.jpg) et UI_Name = MainWindow_with_balance_visiblility_off (Screenshot_2026-02-11-19-50-25-695.jpg) sont similaires à l'exception du bouton de visibilité du Montant du solde dans UI_Name = MainWindow_with_balance_visiblility_off qui est desactivé et le texte du solde qui est remplacé par 8 points</t>
  </si>
  <si>
    <t>MainWindow_TransactionsHistory_with_balance_visiblility_on</t>
  </si>
  <si>
    <t>Similaire à MainWindow_with_balance_visiblility_on (Screenshot_2026-02-11-19-49-54-891.jpg) Mais le bouton de visibilité du Montant du solde dans UI_Name = MainWindow_with_balance_visiblility_off qui est desactivé et le texte du solde qui est remplacé par 8 points</t>
  </si>
  <si>
    <t>MainWindow_TransactionsHistory_with_balance_visiblility_off</t>
  </si>
  <si>
    <t xml:space="preserve">MainWindow_with_balance_visiblility_on (Screenshot_2026-02-11-19-49-54-891.jpg) suite de la Section5 ( historique des transactions ) lorsque l'utilisateur scroll vers le bas avec </t>
  </si>
  <si>
    <t>Page acceuil
- Sur chaque fenetre de l'app il ya un padding de 2px  entre le body de l'app et les bords du telephone
1- Section1 : Header niveau1
   1-a- Bouton de paramètre en haut à gauche (icon)
   1-b- Bouton de selection du compte utilisateur
2- Section2 : Header niveau2 en dessous de Section1
     Montant du Solde est visible suivi du symbole de la monnaie suivi d'une icone pour activer ou desactiver la visibilité du Monant du solde
3- Section3 : Box en dessous de Section2 et 
     Box1 rectangulaire bleu avec à l'interieur box2 contenant en noir sur fond blanc, le userAppQRCode et le mot "Scanner" precedé d'une icone d'appreil photo
4- Section4 : Box en dessous de Section3
     Boutons des services listés en ligne. 4 Boutons par ligne
     Chaque bouton est une icone circulaire avec le nom du service en dessous
5- Section5 : Box en dessous de Section4
     Liste l'historique des transactions
     Chaque ligne de transaction contient : 
        - Sous-ligne1: 
                -- (Aligner à gauche)  Nom du destinaire suivi de son numero (account_id)
                -- (Aligner à droite)  Montant de la transaction suivi du symbole de la monnaie
        - Sous-ligne2: 
               -- (Aligner à gauche)  Date et Heure sous le format (11 fevr. 2026, 19:16)</t>
  </si>
  <si>
    <t xml:space="preserve">MainWindow_with_balance_visiblility_off (Screenshot_2026-02-11-19-50-25-695.jpg) suite de la Section5 ( historique des transactions ) lorsque l'utilisateur scroll vers le bas avec </t>
  </si>
  <si>
    <t>Les fenetres UI_Name = MainWindow_TransactionsHistory_with_balance_visiblility_on (Screenshot_2026-02-11-19-50-26-695.jpg) et UI_Name = MainWindow_TransactionsHistory_with_balance_visiblility_off (Screenshot_2026-02-11-19-50-27-695.jpg) sont similaires à l'exception du bouton de visibilité du Montant du solde dans UI_Name = MainWindow_TransactionsHistory_with_balance_visiblility_off qui est desactivé et le texte du solde qui est remplacé par 8 points</t>
  </si>
  <si>
    <t>TransactionsHistoryWindows</t>
  </si>
  <si>
    <t>TransactionsHistoryWindows_for_MoneyTransfer</t>
  </si>
  <si>
    <t>userPIN</t>
  </si>
  <si>
    <t>App_Config_variable</t>
  </si>
  <si>
    <t>1- Section1 : 
    Bouton background color = section1_ Bouton_background_color = white 
    Bouton Text color = section1_ Bouton_Text_color = dark blue
2- Section2 :
    Text color = section2_ Text_color = white
    Icon color = section1_ Icon_color = white
    montant du solde = user.user_profil.balance
    symbole de la monnaie = user.user_profil.curreny
3- Section3 : 
    Box1 background color = section3_ Box1_background_color = blue
    Box1 background image = section3_ Box1_background_image = "/storage/img/ui/customer_card.png"
    Box2 background image = section3_ Box2_background_image = "/storage/img/qr_code/profil/qr_code-n.png"
    Box2 text color = section3_ Box2_Text_color = black
4- Section4 : 
    Box background color = section4_ Box_background_color = white
    Text color = section4_ Text_color = black
    Icon-n background image = section4_ Icon-n_background_image = "/storage/img/ui/Icon-n.png"
5- Section5 :
    Box background color = section5_ Box_background_color = white
    Sous-ligne1 Text color = section5_ Text_color = dark blue
    Sous-ligne2 Text color = section5_ Text_color = gray
    liste de l'historique des transactions = user.user_profil.getLast20Transactions</t>
  </si>
  <si>
    <t>activeFilter = MoneyTransfer</t>
  </si>
  <si>
    <t xml:space="preserve">
3- Section3 :
    liste des produits ou services = user.user_profil.getAllProducts_Services
     ex  liste des produits ou services : Achat, Transfer
    liste categories des paymentServiceProvider = user.user_profil.getAllCategoryOfPaymentServiceProvider
     ex  liste categories des paymentServiceProvider : Mobile Money, compte_de_rechargement GSM ou Carrier_Bill, visa, mastercard, paypal
    liste des paymentServiceProvider et leurs categories  = user.user_profil.getAllPaymentServiceProviderByCategory
4- Section4 :
    Box background color = section5_ Box_background_color = white
    Sous-ligne1 Text color = section5_ Text_color = dark blue
    Sous-ligne2 Text color = section5_ Text_color = gray
    liste de l'historique des transactions = user.user_profil.getAllTransactions_PaginateInterval20</t>
  </si>
  <si>
    <t>Fenetre qui affiche la liste complete de l'historique des toutes les transactions de l'utilisateur lorsqu'il clique sur le bouton de recherche dans MainWindow_TransactionsHistory-Section5
1- Section2 : Header niveau1 
     Box Header de la fenetre TransactionsHistoryWindows contenant un bouton de retour a la fenetre precedente
2- Section2 : Box en dessous de Section2 et 
     Searchbox ou champ de recherche
3- Section3 : Box en dessous de Section2
     Boutons des produits ou services listés en ligne
4- Section4 : Box en dessous de Section3
     Liste l'historique des transactions
     Chaque ligne de transaction contient : 
        - Sous-ligne1: 
                -- (Aligner à gauche)  Nom du destinaire suivi de son numero (account_id)
                -- (Aligner à droite)  Montant de la transaction suivi du symbole de la monnaie
        - Sous-ligne2: 
               -- (Aligner à gauche)  Date et Heure sous le format (11 fevr. 2026, 19:16)</t>
  </si>
  <si>
    <t>3- Section3 : Box en dessous de Section2
     Chaque ligne liste le produit/service suivi des sous-composantes
      Ex:
          Ligne1 : Achat =&gt; Tranfer d'unité ;  Souscription Pass 
          Ligne2 : Transfert d'argent =&gt; Mobile Money ;  Visa  ; Paypal ;  Stripe</t>
  </si>
  <si>
    <t>TransactionsHistoryWindows_for_Bills</t>
  </si>
  <si>
    <t>activeFilter = Bills</t>
  </si>
  <si>
    <t>TransactionsHistoryWindows qui affiche la liste complete de l'historique des toutes les transactions de l'utilisateur filtré sur les transferts d'argent (MoneyTransfer)
Le bouton du Filtre est activé</t>
  </si>
  <si>
    <t>TransactionsHistoryWindows qui affiche la liste complete de l'historique des toutes les transactions de l'utilisateur filtré sur les Factures (Bills)
Le bouton du Filtre est activé</t>
  </si>
  <si>
    <t>UI_General_Modification_Requested-Modification_App_wide</t>
  </si>
  <si>
    <t>UI_img_URL</t>
  </si>
  <si>
    <t>Base_URL_Folder</t>
  </si>
  <si>
    <t>Base_URL</t>
  </si>
  <si>
    <t>Screenshot%20Wave/</t>
  </si>
  <si>
    <t>Screenshot%20Wave%20Business/</t>
  </si>
  <si>
    <t>Screenshot%20Wave%20Agent/</t>
  </si>
  <si>
    <t>https://ttt-mobileapp.fwh.is/Main/</t>
  </si>
  <si>
    <t>https://ttt-mobileapp.fwh.is/Main/Screenshot%20Wave/Screenshot_2026-02-11-19-40-54-891.jpg</t>
  </si>
  <si>
    <t>https://ttt-mobileapp.fwh.is/Main/Screenshot%20Wave/Screenshot_2026-02-11-19-40-54-892.jpg</t>
  </si>
  <si>
    <t>https://ttt-mobileapp.fwh.is/Main/Screenshot%20Wave/Screenshot_2026-02-11-19-49-54-891.jpg</t>
  </si>
  <si>
    <t>https://ttt-mobileapp.fwh.is/Main/Screenshot%20Wave/Screenshot_2026-02-11-19-50-25-695.jpg</t>
  </si>
  <si>
    <t>https://ttt-mobileapp.fwh.is/Main/Screenshot%20Wave/Screenshot_2026-02-11-19-50-26-695.jpg</t>
  </si>
  <si>
    <t>https://ttt-mobileapp.fwh.is/Main/Screenshot%20Wave/Screenshot_2026-02-11-19-50-27-695.jpg</t>
  </si>
  <si>
    <t>https://ttt-mobileapp.fwh.is/Main/Screenshot%20Wave/Screenshot_2026-02-11-19-50-27-696.jpg</t>
  </si>
  <si>
    <t>https://ttt-mobileapp.fwh.is/Main/Screenshot%20Wave/Screenshot_2026-02-11-19-50-27-697.jpg</t>
  </si>
  <si>
    <t>https://ttt-mobileapp.fwh.is/Main/Screenshot%20Wave/Screenshot_2026-02-11-19-50-27-698.jpg</t>
  </si>
  <si>
    <t>https://ttt-mobileapp.fwh.is/Main/Screenshot%20Wave/Screenshot_2026-02-11-19-50-27-891.jpg</t>
  </si>
  <si>
    <t>https://ttt-mobileapp.fwh.is/Main/Screenshot%20Wave/Screenshot_2026-02-11-19-50-42-139.jpg</t>
  </si>
  <si>
    <t>https://ttt-mobileapp.fwh.is/Main/Screenshot%20Wave/Screenshot_2026-02-11-19-51-00-818.jpg</t>
  </si>
  <si>
    <t>https://ttt-mobileapp.fwh.is/Main/Screenshot%20Wave/Screenshot_2026-02-11-19-51-28-144.jpg</t>
  </si>
  <si>
    <t>https://ttt-mobileapp.fwh.is/Main/Screenshot%20Wave/Screenshot_2026-02-11-19-52-13-105.jpg</t>
  </si>
  <si>
    <t>https://ttt-mobileapp.fwh.is/Main/Screenshot%20Wave/Screenshot_2026-02-11-19-52-14-105.jpg</t>
  </si>
  <si>
    <t>https://ttt-mobileapp.fwh.is/Main/Screenshot%20Wave/Screenshot_2026-02-11-19-52-49-013.jpg</t>
  </si>
  <si>
    <t>https://ttt-mobileapp.fwh.is/Main/Screenshot%20Wave/Screenshot_2026-02-11-19-53-37-106.jpg</t>
  </si>
  <si>
    <t>https://ttt-mobileapp.fwh.is/Main/Screenshot%20Wave/Screenshot_2026-02-11-19-53-57-285.jpg</t>
  </si>
  <si>
    <t>https://ttt-mobileapp.fwh.is/Main/Screenshot%20Wave/Screenshot_2026-02-11-19-55-31-617.jpg</t>
  </si>
  <si>
    <t>https://ttt-mobileapp.fwh.is/Main/Screenshot%20Wave/Screenshot_2026-02-11-19-55-50-453.jpg</t>
  </si>
  <si>
    <t>https://ttt-mobileapp.fwh.is/Main/Screenshot%20Wave/Screenshot_2026-02-11-20-00-54-346.jpg</t>
  </si>
  <si>
    <t>https://ttt-mobileapp.fwh.is/Main/Screenshot%20Wave/Screenshot_2026-02-11-20-01-54-346.jpg</t>
  </si>
  <si>
    <t>https://ttt-mobileapp.fwh.is/Main/Screenshot%20Wave/Screenshot_2026-02-11-20-10-32-614.jpg</t>
  </si>
  <si>
    <t>https://ttt-mobileapp.fwh.is/Main/Screenshot%20Wave/Screenshot_2026-02-11-20-12-54-806.jpg</t>
  </si>
  <si>
    <t>https://ttt-mobileapp.fwh.is/Main/Screenshot%20Wave%20Business/Screenshot_2026-02-11-20-21-02-946.jpg</t>
  </si>
  <si>
    <t>https://ttt-mobileapp.fwh.is/Main/Screenshot%20Wave%20Business/Screenshot_2026-02-11-20-21-02-947.jpg</t>
  </si>
  <si>
    <t>https://ttt-mobileapp.fwh.is/Main/Screenshot%20Wave%20Business/Screenshot_2026-02-11-20-21-03-947.jpg</t>
  </si>
  <si>
    <t>https://ttt-mobileapp.fwh.is/Main/Screenshot%20Wave%20Business/Screenshot_2026-02-11-20-33-44-368.jpg</t>
  </si>
  <si>
    <t>https://ttt-mobileapp.fwh.is/Main/Screenshot%20Wave%20Business/Screenshot_2026-02-11-20-34-38-661.jpg</t>
  </si>
  <si>
    <t>https://ttt-mobileapp.fwh.is/Main/Screenshot%20Wave%20Business/Screenshot_2026-02-11-20-35-21-128.jpg</t>
  </si>
  <si>
    <t>https://ttt-mobileapp.fwh.is/Main/Screenshot%20Wave%20Business/Screenshot_2026-02-11-20-35-45-135.jpg</t>
  </si>
  <si>
    <t>https://ttt-mobileapp.fwh.is/Main/Screenshot%20Wave%20Business/Screenshot_2026-02-11-20-36-32-694.jpg</t>
  </si>
  <si>
    <t>https://ttt-mobileapp.fwh.is/Main/Screenshot%20Wave%20Business/Screenshot_2026-02-11-20-36-58-564.jpg</t>
  </si>
  <si>
    <t>https://ttt-mobileapp.fwh.is/Main/Screenshot%20Wave%20Business/Screenshot_2026-02-11-20-37-38-253.jpg</t>
  </si>
  <si>
    <t>https://ttt-mobileapp.fwh.is/Main/Screenshot%20Wave%20Business/Screenshot_2026-02-11-20-38-19-059.jpg</t>
  </si>
  <si>
    <t>https://ttt-mobileapp.fwh.is/Main/Screenshot%20Wave%20Business/Screenshot_2026-02-11-20-38-19-060.jpg</t>
  </si>
  <si>
    <t>https://ttt-mobileapp.fwh.is/Main/Screenshot%20Wave%20Business/Screenshot_2026-02-11-20-39-12-571.jpg</t>
  </si>
  <si>
    <t>https://ttt-mobileapp.fwh.is/Main/Screenshot%20Wave%20Business/Screenshot_2026-02-11-20-39-33-459.jpg</t>
  </si>
  <si>
    <t>https://ttt-mobileapp.fwh.is/Main/Screenshot%20Wave%20Business/Screenshot_2026-02-11-20-39-34-459.jpg</t>
  </si>
  <si>
    <t>https://ttt-mobileapp.fwh.is/Main/Screenshot%20Wave%20Business/Screenshot_2026-02-11-20-43-31-709.jpg</t>
  </si>
  <si>
    <t>https://ttt-mobileapp.fwh.is/Main/Screenshot%20Wave%20Business/Screenshot_2026-02-11-20-44-01-526.jpg</t>
  </si>
  <si>
    <t>https://ttt-mobileapp.fwh.is/Main/Screenshot%20Wave%20Business/Screenshot_2026-02-11-20-44-43-362.jpg</t>
  </si>
  <si>
    <t>https://ttt-mobileapp.fwh.is/Main/Screenshot%20Wave%20Business/Screenshot_2026-02-11-20-46-20-070.jpg</t>
  </si>
  <si>
    <t>https://ttt-mobileapp.fwh.is/Main/Screenshot%20Wave%20Business/Screenshot_2026-02-11-20-46-20-071.jpg</t>
  </si>
  <si>
    <t>https://ttt-mobileapp.fwh.is/Main/Screenshot%20Wave%20Business/Screenshot_2026-02-11-20-47-53-039.jpg</t>
  </si>
  <si>
    <t>https://ttt-mobileapp.fwh.is/Main/Screenshot%20Wave%20Business/Screenshot_2026-02-11-20-48-14-287.jpg</t>
  </si>
  <si>
    <t>https://ttt-mobileapp.fwh.is/Main/Screenshot%20Wave%20Agent/Screenshot_2026-02-11-20-49-30-036.jpg</t>
  </si>
  <si>
    <t>MoneyTransfer_RecipientForm</t>
  </si>
  <si>
    <t>Fenêtre de saisie du bénéficiaire pour un transfert d'argent</t>
  </si>
  <si>
    <r>
      <t>1- </t>
    </r>
    <r>
      <rPr>
        <sz val="11"/>
        <color rgb="FFF9FAFB"/>
        <rFont val="Segoe UI"/>
        <family val="2"/>
      </rPr>
      <t>Section1</t>
    </r>
    <r>
      <rPr>
        <sz val="11"/>
        <color rgb="FFF9FAFB"/>
        <rFont val="Segoe UI"/>
        <family val="2"/>
      </rPr>
      <t> : Header avec titre "Nouveau transfert" et bouton de retour</t>
    </r>
  </si>
  <si>
    <r>
      <t>2- </t>
    </r>
    <r>
      <rPr>
        <sz val="11"/>
        <color rgb="FFF9FAFB"/>
        <rFont val="Segoe UI"/>
        <family val="2"/>
      </rPr>
      <t>Section2</t>
    </r>
    <r>
      <rPr>
        <sz val="11"/>
        <color rgb="FFF9FAFB"/>
        <rFont val="Segoe UI"/>
        <family val="2"/>
      </rPr>
      <t> : Formulaire de saisie</t>
    </r>
  </si>
  <si>
    <t>- Champ "Numéro du bénéficiaire" avec indicatif téléphonique pré-rempli</t>
  </si>
  <si>
    <t>- Icône de carnet d'adresses à droite du champ</t>
  </si>
  <si>
    <r>
      <t>3- </t>
    </r>
    <r>
      <rPr>
        <sz val="11"/>
        <color rgb="FFF9FAFB"/>
        <rFont val="Segoe UI"/>
        <family val="2"/>
      </rPr>
      <t>Section3</t>
    </r>
    <r>
      <rPr>
        <sz val="11"/>
        <color rgb="FFF9FAFB"/>
        <rFont val="Segoe UI"/>
        <family val="2"/>
      </rPr>
      <t> : Bouton "Continuer" en bas de l'écran (grisé tant que le champ est vide)</t>
    </r>
  </si>
  <si>
    <r>
      <t>4- </t>
    </r>
    <r>
      <rPr>
        <sz val="11"/>
        <color rgb="FFF9FAFB"/>
        <rFont val="Segoe UI"/>
        <family val="2"/>
      </rPr>
      <t>Section4</t>
    </r>
    <r>
      <rPr>
        <sz val="11"/>
        <color rgb="FFF9FAFB"/>
        <rFont val="Segoe UI"/>
        <family val="2"/>
      </rPr>
      <t> : Message d'aide "Saisissez le numéro du destinataire"</t>
    </r>
  </si>
  <si>
    <t>recipientPhone</t>
  </si>
  <si>
    <t>countryCode</t>
  </si>
  <si>
    <t>Similaire à la structure de TransactionsHistoryWindows mais pour la saisie</t>
  </si>
  <si>
    <t>MoneyTransfer_AmountEntry</t>
  </si>
  <si>
    <t>Fenêtre de saisie du montant à transférer</t>
  </si>
  <si>
    <r>
      <t>1- </t>
    </r>
    <r>
      <rPr>
        <sz val="11"/>
        <color rgb="FFF9FAFB"/>
        <rFont val="Segoe UI"/>
        <family val="2"/>
      </rPr>
      <t>Section1</t>
    </r>
    <r>
      <rPr>
        <sz val="11"/>
        <color rgb="FFF9FAFB"/>
        <rFont val="Segoe UI"/>
        <family val="2"/>
      </rPr>
      <t> : Header avec titre "Montant" et bouton de retour</t>
    </r>
  </si>
  <si>
    <r>
      <t>2- </t>
    </r>
    <r>
      <rPr>
        <sz val="11"/>
        <color rgb="FFF9FAFB"/>
        <rFont val="Segoe UI"/>
        <family val="2"/>
      </rPr>
      <t>Section2</t>
    </r>
    <r>
      <rPr>
        <sz val="11"/>
        <color rgb="FFF9FAFB"/>
        <rFont val="Segoe UI"/>
        <family val="2"/>
      </rPr>
      <t> : Récapitulatif du bénéficiaire</t>
    </r>
  </si>
  <si>
    <t>- Nom du bénéficiaire et numéro (format +225 XX XX XX XX)</t>
  </si>
  <si>
    <r>
      <t>3- </t>
    </r>
    <r>
      <rPr>
        <sz val="11"/>
        <color rgb="FFF9FAFB"/>
        <rFont val="Segoe UI"/>
        <family val="2"/>
      </rPr>
      <t>Section3</t>
    </r>
    <r>
      <rPr>
        <sz val="11"/>
        <color rgb="FFF9FAFB"/>
        <rFont val="Segoe UI"/>
        <family val="2"/>
      </rPr>
      <t> : Zone de saisie du montant</t>
    </r>
  </si>
  <si>
    <t>- Champ de saisie avec le symbole de la monnaie (FCFA)</t>
  </si>
  <si>
    <t>- Clavier numérique à l'écran</t>
  </si>
  <si>
    <r>
      <t>4- </t>
    </r>
    <r>
      <rPr>
        <sz val="11"/>
        <color rgb="FFF9FAFB"/>
        <rFont val="Segoe UI"/>
        <family val="2"/>
      </rPr>
      <t>Section4</t>
    </r>
    <r>
      <rPr>
        <sz val="11"/>
        <color rgb="FFF9FAFB"/>
        <rFont val="Segoe UI"/>
        <family val="2"/>
      </rPr>
      <t> : Bouton "Suivant" en bas (activé quand montant &gt; 0)</t>
    </r>
  </si>
  <si>
    <r>
      <t>5- </t>
    </r>
    <r>
      <rPr>
        <sz val="11"/>
        <color rgb="FFF9FAFB"/>
        <rFont val="Segoe UI"/>
        <family val="2"/>
      </rPr>
      <t>Section5</t>
    </r>
    <r>
      <rPr>
        <sz val="11"/>
        <color rgb="FFF9FAFB"/>
        <rFont val="Segoe UI"/>
        <family val="2"/>
      </rPr>
      <t> : Message d'information sur les frais éventuels</t>
    </r>
  </si>
  <si>
    <t>transferAmount</t>
  </si>
  <si>
    <t>recipientInfo</t>
  </si>
  <si>
    <t>feesAmount</t>
  </si>
  <si>
    <t>MoneyTransfer_Confirmation</t>
  </si>
  <si>
    <t>Fenêtre de confirmation des détails du transfert</t>
  </si>
  <si>
    <r>
      <t>1- </t>
    </r>
    <r>
      <rPr>
        <sz val="11"/>
        <color rgb="FFF9FAFB"/>
        <rFont val="Segoe UI"/>
        <family val="2"/>
      </rPr>
      <t>Section1</t>
    </r>
    <r>
      <rPr>
        <sz val="11"/>
        <color rgb="FFF9FAFB"/>
        <rFont val="Segoe UI"/>
        <family val="2"/>
      </rPr>
      <t> : Header avec titre "Confirmation" et bouton de retour</t>
    </r>
  </si>
  <si>
    <r>
      <t>2- </t>
    </r>
    <r>
      <rPr>
        <sz val="11"/>
        <color rgb="FFF9FAFB"/>
        <rFont val="Segoe UI"/>
        <family val="2"/>
      </rPr>
      <t>Section2</t>
    </r>
    <r>
      <rPr>
        <sz val="11"/>
        <color rgb="FFF9FAFB"/>
        <rFont val="Segoe UI"/>
        <family val="2"/>
      </rPr>
      <t> : Récapitulatif détaillé</t>
    </r>
  </si>
  <si>
    <r>
      <t>- </t>
    </r>
    <r>
      <rPr>
        <sz val="11"/>
        <color rgb="FFF9FAFB"/>
        <rFont val="Segoe UI"/>
        <family val="2"/>
      </rPr>
      <t>Bénéficiaire</t>
    </r>
    <r>
      <rPr>
        <sz val="11"/>
        <color rgb="FFF9FAFB"/>
        <rFont val="Segoe UI"/>
        <family val="2"/>
      </rPr>
      <t> : Nom et numéro complet</t>
    </r>
  </si>
  <si>
    <r>
      <t>- </t>
    </r>
    <r>
      <rPr>
        <sz val="11"/>
        <color rgb="FFF9FAFB"/>
        <rFont val="Segoe UI"/>
        <family val="2"/>
      </rPr>
      <t>Montant</t>
    </r>
    <r>
      <rPr>
        <sz val="11"/>
        <color rgb="FFF9FAFB"/>
        <rFont val="Segoe UI"/>
        <family val="2"/>
      </rPr>
      <t> : Montant saisi + symbole monnaie</t>
    </r>
  </si>
  <si>
    <r>
      <t>- </t>
    </r>
    <r>
      <rPr>
        <sz val="11"/>
        <color rgb="FFF9FAFB"/>
        <rFont val="Segoe UI"/>
        <family val="2"/>
      </rPr>
      <t>Frais</t>
    </r>
    <r>
      <rPr>
        <sz val="11"/>
        <color rgb="FFF9FAFB"/>
        <rFont val="Segoe UI"/>
        <family val="2"/>
      </rPr>
      <t> : Montant des frais</t>
    </r>
  </si>
  <si>
    <r>
      <t>- </t>
    </r>
    <r>
      <rPr>
        <sz val="11"/>
        <color rgb="FFF9FAFB"/>
        <rFont val="Segoe UI"/>
        <family val="2"/>
      </rPr>
      <t>Total</t>
    </r>
    <r>
      <rPr>
        <sz val="11"/>
        <color rgb="FFF9FAFB"/>
        <rFont val="Segoe UI"/>
        <family val="2"/>
      </rPr>
      <t> : Montant total débité</t>
    </r>
  </si>
  <si>
    <r>
      <t>3- </t>
    </r>
    <r>
      <rPr>
        <sz val="11"/>
        <color rgb="FFF9FAFB"/>
        <rFont val="Segoe UI"/>
        <family val="2"/>
      </rPr>
      <t>Section3</t>
    </r>
    <r>
      <rPr>
        <sz val="11"/>
        <color rgb="FFF9FAFB"/>
        <rFont val="Segoe UI"/>
        <family val="2"/>
      </rPr>
      <t> : Bouton "Confirmer" en bas</t>
    </r>
  </si>
  <si>
    <r>
      <t>4- </t>
    </r>
    <r>
      <rPr>
        <sz val="11"/>
        <color rgb="FFF9FAFB"/>
        <rFont val="Segoe UI"/>
        <family val="2"/>
      </rPr>
      <t>Section4</t>
    </r>
    <r>
      <rPr>
        <sz val="11"/>
        <color rgb="FFF9FAFB"/>
        <rFont val="Segoe UI"/>
        <family val="2"/>
      </rPr>
      <t> : Message "Vérifiez les informations avant de confirmer"</t>
    </r>
  </si>
  <si>
    <t>fees</t>
  </si>
  <si>
    <t>totalAmount</t>
  </si>
  <si>
    <t>recipientDetails</t>
  </si>
  <si>
    <t>MoneyTransfer_Success</t>
  </si>
  <si>
    <t>Fenêtre de confirmation de réussite du transfert</t>
  </si>
  <si>
    <r>
      <t>1- </t>
    </r>
    <r>
      <rPr>
        <sz val="11"/>
        <color rgb="FFF9FAFB"/>
        <rFont val="Segoe UI"/>
        <family val="2"/>
      </rPr>
      <t>Section1</t>
    </r>
    <r>
      <rPr>
        <sz val="11"/>
        <color rgb="FFF9FAFB"/>
        <rFont val="Segoe UI"/>
        <family val="2"/>
      </rPr>
      <t> : Header avec titre "Succès" et bouton de retour</t>
    </r>
  </si>
  <si>
    <r>
      <t>2- </t>
    </r>
    <r>
      <rPr>
        <sz val="11"/>
        <color rgb="FFF9FAFB"/>
        <rFont val="Segoe UI"/>
        <family val="2"/>
      </rPr>
      <t>Section2</t>
    </r>
    <r>
      <rPr>
        <sz val="11"/>
        <color rgb="FFF9FAFB"/>
        <rFont val="Segoe UI"/>
        <family val="2"/>
      </rPr>
      <t> : Icône de succès (coche verte) au centre</t>
    </r>
  </si>
  <si>
    <r>
      <t>3- </t>
    </r>
    <r>
      <rPr>
        <sz val="11"/>
        <color rgb="FFF9FAFB"/>
        <rFont val="Segoe UI"/>
        <family val="2"/>
      </rPr>
      <t>Section3</t>
    </r>
    <r>
      <rPr>
        <sz val="11"/>
        <color rgb="FFF9FAFB"/>
        <rFont val="Segoe UI"/>
        <family val="2"/>
      </rPr>
      <t> : Message de confirmation</t>
    </r>
  </si>
  <si>
    <t>- Montant transféré</t>
  </si>
  <si>
    <t>- Bénéficiaire</t>
  </si>
  <si>
    <r>
      <t>4- </t>
    </r>
    <r>
      <rPr>
        <sz val="11"/>
        <color rgb="FFF9FAFB"/>
        <rFont val="Segoe UI"/>
        <family val="2"/>
      </rPr>
      <t>Section4</t>
    </r>
    <r>
      <rPr>
        <sz val="11"/>
        <color rgb="FFF9FAFB"/>
        <rFont val="Segoe UI"/>
        <family val="2"/>
      </rPr>
      <t> : Boutons d'action</t>
    </r>
  </si>
  <si>
    <r>
      <t>5- </t>
    </r>
    <r>
      <rPr>
        <sz val="11"/>
        <color rgb="FFF9FAFB"/>
        <rFont val="Segoe UI"/>
        <family val="2"/>
      </rPr>
      <t>Section5</t>
    </r>
    <r>
      <rPr>
        <sz val="11"/>
        <color rgb="FFF9FAFB"/>
        <rFont val="Segoe UI"/>
        <family val="2"/>
      </rPr>
      <t> : Option de partage du reçu</t>
    </r>
  </si>
  <si>
    <t>transactionId</t>
  </si>
  <si>
    <t>recipientName</t>
  </si>
  <si>
    <t>receiptURL</t>
  </si>
  <si>
    <t>Bills_Categories</t>
  </si>
  <si>
    <t>Fenêtre de sélection de catégorie de factures</t>
  </si>
  <si>
    <r>
      <t>1- </t>
    </r>
    <r>
      <rPr>
        <sz val="11"/>
        <color rgb="FFF9FAFB"/>
        <rFont val="Segoe UI"/>
        <family val="2"/>
      </rPr>
      <t>Section1</t>
    </r>
    <r>
      <rPr>
        <sz val="11"/>
        <color rgb="FFF9FAFB"/>
        <rFont val="Segoe UI"/>
        <family val="2"/>
      </rPr>
      <t> : Header avec titre "Factures" et bouton de retour</t>
    </r>
  </si>
  <si>
    <r>
      <t>2- </t>
    </r>
    <r>
      <rPr>
        <sz val="11"/>
        <color rgb="FFF9FAFB"/>
        <rFont val="Segoe UI"/>
        <family val="2"/>
      </rPr>
      <t>Section2</t>
    </r>
    <r>
      <rPr>
        <sz val="11"/>
        <color rgb="FFF9FAFB"/>
        <rFont val="Segoe UI"/>
        <family val="2"/>
      </rPr>
      <t> : Barre de recherche</t>
    </r>
  </si>
  <si>
    <r>
      <t>3- </t>
    </r>
    <r>
      <rPr>
        <sz val="11"/>
        <color rgb="FFF9FAFB"/>
        <rFont val="Segoe UI"/>
        <family val="2"/>
      </rPr>
      <t>Section3</t>
    </r>
    <r>
      <rPr>
        <sz val="11"/>
        <color rgb="FFF9FAFB"/>
        <rFont val="Segoe UI"/>
        <family val="2"/>
      </rPr>
      <t> : Liste des catégories de factures</t>
    </r>
  </si>
  <si>
    <r>
      <t>- </t>
    </r>
    <r>
      <rPr>
        <sz val="11"/>
        <color rgb="FFF9FAFB"/>
        <rFont val="Segoe UI"/>
        <family val="2"/>
      </rPr>
      <t>Électricité</t>
    </r>
    <r>
      <rPr>
        <sz val="11"/>
        <color rgb="FFF9FAFB"/>
        <rFont val="Segoe UI"/>
        <family val="2"/>
      </rPr>
      <t> avec icône</t>
    </r>
  </si>
  <si>
    <r>
      <t>- </t>
    </r>
    <r>
      <rPr>
        <sz val="11"/>
        <color rgb="FFF9FAFB"/>
        <rFont val="Segoe UI"/>
        <family val="2"/>
      </rPr>
      <t>Eau</t>
    </r>
    <r>
      <rPr>
        <sz val="11"/>
        <color rgb="FFF9FAFB"/>
        <rFont val="Segoe UI"/>
        <family val="2"/>
      </rPr>
      <t> avec icône</t>
    </r>
  </si>
  <si>
    <r>
      <t>- </t>
    </r>
    <r>
      <rPr>
        <sz val="11"/>
        <color rgb="FFF9FAFB"/>
        <rFont val="Segoe UI"/>
        <family val="2"/>
      </rPr>
      <t>Téléphone/Internet</t>
    </r>
    <r>
      <rPr>
        <sz val="11"/>
        <color rgb="FFF9FAFB"/>
        <rFont val="Segoe UI"/>
        <family val="2"/>
      </rPr>
      <t> avec icône</t>
    </r>
  </si>
  <si>
    <r>
      <t>- </t>
    </r>
    <r>
      <rPr>
        <sz val="11"/>
        <color rgb="FFF9FAFB"/>
        <rFont val="Segoe UI"/>
        <family val="2"/>
      </rPr>
      <t>Scolarité</t>
    </r>
    <r>
      <rPr>
        <sz val="11"/>
        <color rgb="FFF9FAFB"/>
        <rFont val="Segoe UI"/>
        <family val="2"/>
      </rPr>
      <t> avec icône</t>
    </r>
  </si>
  <si>
    <r>
      <t>4- </t>
    </r>
    <r>
      <rPr>
        <sz val="11"/>
        <color rgb="FFF9FAFB"/>
        <rFont val="Segoe UI"/>
        <family val="2"/>
      </rPr>
      <t>Section4</t>
    </r>
    <r>
      <rPr>
        <sz val="11"/>
        <color rgb="FFF9FAFB"/>
        <rFont val="Segoe UI"/>
        <family val="2"/>
      </rPr>
      <t> : Factures récentes ou enregistrées</t>
    </r>
  </si>
  <si>
    <t>billCategories</t>
  </si>
  <si>
    <t>selectedCategory</t>
  </si>
  <si>
    <t>recentBills</t>
  </si>
  <si>
    <t>Structure similaire à TransactionsHistoryWindows avec des catégories</t>
  </si>
  <si>
    <t>Bills_ProviderSelection</t>
  </si>
  <si>
    <t>Fenêtre de sélection du fournisseur de service</t>
  </si>
  <si>
    <r>
      <t>1- </t>
    </r>
    <r>
      <rPr>
        <sz val="11"/>
        <color rgb="FFF9FAFB"/>
        <rFont val="Segoe UI"/>
        <family val="2"/>
      </rPr>
      <t>Section1</t>
    </r>
    <r>
      <rPr>
        <sz val="11"/>
        <color rgb="FFF9FAFB"/>
        <rFont val="Segoe UI"/>
        <family val="2"/>
      </rPr>
      <t> : Header avec titre "Choisir le fournisseur" et bouton de retour</t>
    </r>
  </si>
  <si>
    <r>
      <t>2- </t>
    </r>
    <r>
      <rPr>
        <sz val="11"/>
        <color rgb="FFF9FAFB"/>
        <rFont val="Segoe UI"/>
        <family val="2"/>
      </rPr>
      <t>Section2</t>
    </r>
    <r>
      <rPr>
        <sz val="11"/>
        <color rgb="FFF9FAFB"/>
        <rFont val="Segoe UI"/>
        <family val="2"/>
      </rPr>
      <t> : Indication de la catégorie sélectionnée (ex: "Électricité")</t>
    </r>
  </si>
  <si>
    <r>
      <t>3- </t>
    </r>
    <r>
      <rPr>
        <sz val="11"/>
        <color rgb="FFF9FAFB"/>
        <rFont val="Segoe UI"/>
        <family val="2"/>
      </rPr>
      <t>Section3</t>
    </r>
    <r>
      <rPr>
        <sz val="11"/>
        <color rgb="FFF9FAFB"/>
        <rFont val="Segoe UI"/>
        <family val="2"/>
      </rPr>
      <t> : Liste des fournisseurs disponibles</t>
    </r>
  </si>
  <si>
    <r>
      <t>- </t>
    </r>
    <r>
      <rPr>
        <sz val="11"/>
        <color rgb="FFF9FAFB"/>
        <rFont val="Segoe UI"/>
        <family val="2"/>
      </rPr>
      <t>CIE</t>
    </r>
    <r>
      <rPr>
        <sz val="11"/>
        <color rgb="FFF9FAFB"/>
        <rFont val="Segoe UI"/>
        <family val="2"/>
      </rPr>
      <t> (Côte d'Ivoire)</t>
    </r>
  </si>
  <si>
    <r>
      <t>- </t>
    </r>
    <r>
      <rPr>
        <sz val="11"/>
        <color rgb="FFF9FAFB"/>
        <rFont val="Segoe UI"/>
        <family val="2"/>
      </rPr>
      <t>SODECI</t>
    </r>
    <r>
      <rPr>
        <sz val="11"/>
        <color rgb="FFF9FAFB"/>
        <rFont val="Segoe UI"/>
        <family val="2"/>
      </rPr>
      <t> (Côte d'Ivoire)</t>
    </r>
  </si>
  <si>
    <t>- Autres fournisseurs selon le pays</t>
  </si>
  <si>
    <r>
      <t>4- </t>
    </r>
    <r>
      <rPr>
        <sz val="11"/>
        <color rgb="FFF9FAFB"/>
        <rFont val="Segoe UI"/>
        <family val="2"/>
      </rPr>
      <t>Section4</t>
    </r>
    <r>
      <rPr>
        <sz val="11"/>
        <color rgb="FFF9FAFB"/>
        <rFont val="Segoe UI"/>
        <family val="2"/>
      </rPr>
      <t> : Champ de recherche rapide</t>
    </r>
  </si>
  <si>
    <t>providerList</t>
  </si>
  <si>
    <t>selectedProvider</t>
  </si>
  <si>
    <t>categoryType</t>
  </si>
  <si>
    <t>Bills_ContractNumberEntry</t>
  </si>
  <si>
    <t>Fenêtre de saisie du numéro de contrat/client pour la facture</t>
  </si>
  <si>
    <r>
      <t>1- </t>
    </r>
    <r>
      <rPr>
        <sz val="11"/>
        <color rgb="FFF9FAFB"/>
        <rFont val="Segoe UI"/>
        <family val="2"/>
      </rPr>
      <t>Section1</t>
    </r>
    <r>
      <rPr>
        <sz val="11"/>
        <color rgb="FFF9FAFB"/>
        <rFont val="Segoe UI"/>
        <family val="2"/>
      </rPr>
      <t> : Header avec titre "Numéro de contrat" et bouton de retour</t>
    </r>
  </si>
  <si>
    <r>
      <t>2- </t>
    </r>
    <r>
      <rPr>
        <sz val="11"/>
        <color rgb="FFF9FAFB"/>
        <rFont val="Segoe UI"/>
        <family val="2"/>
      </rPr>
      <t>Section2</t>
    </r>
    <r>
      <rPr>
        <sz val="11"/>
        <color rgb="FFF9FAFB"/>
        <rFont val="Segoe UI"/>
        <family val="2"/>
      </rPr>
      <t> : Rappel du fournisseur sélectionné (ex: "CIE")</t>
    </r>
  </si>
  <si>
    <r>
      <t>3- </t>
    </r>
    <r>
      <rPr>
        <sz val="11"/>
        <color rgb="FFF9FAFB"/>
        <rFont val="Segoe UI"/>
        <family val="2"/>
      </rPr>
      <t>Section3</t>
    </r>
    <r>
      <rPr>
        <sz val="11"/>
        <color rgb="FFF9FAFB"/>
        <rFont val="Segoe UI"/>
        <family val="2"/>
      </rPr>
      <t> : Champ de saisie du numéro de contrat</t>
    </r>
  </si>
  <si>
    <t>- Format attendu (ex: "12345678")</t>
  </si>
  <si>
    <t>- Clavier numérique</t>
  </si>
  <si>
    <r>
      <t>4- </t>
    </r>
    <r>
      <rPr>
        <sz val="11"/>
        <color rgb="FFF9FAFB"/>
        <rFont val="Segoe UI"/>
        <family val="2"/>
      </rPr>
      <t>Section4</t>
    </r>
    <r>
      <rPr>
        <sz val="11"/>
        <color rgb="FFF9FAFB"/>
        <rFont val="Segoe UI"/>
        <family val="2"/>
      </rPr>
      <t> : Bouton "Vérifier" en bas</t>
    </r>
  </si>
  <si>
    <r>
      <t>5- </t>
    </r>
    <r>
      <rPr>
        <sz val="11"/>
        <color rgb="FFF9FAFB"/>
        <rFont val="Segoe UI"/>
        <family val="2"/>
      </rPr>
      <t>Section5</t>
    </r>
    <r>
      <rPr>
        <sz val="11"/>
        <color rgb="FFF9FAFB"/>
        <rFont val="Segoe UI"/>
        <family val="2"/>
      </rPr>
      <t> : Message d'aide "Trouvez ce numéro sur votre facture"</t>
    </r>
  </si>
  <si>
    <t>contractNumber</t>
  </si>
  <si>
    <t>providerName</t>
  </si>
  <si>
    <t>billType</t>
  </si>
  <si>
    <t>Fait suite à Bills_ProviderSelection (UI_ID 15)</t>
  </si>
  <si>
    <t>Bills_AmountDue</t>
  </si>
  <si>
    <t>Fenêtre affichant le montant de la facture à payer</t>
  </si>
  <si>
    <r>
      <t>1- </t>
    </r>
    <r>
      <rPr>
        <sz val="11"/>
        <color rgb="FFF9FAFB"/>
        <rFont val="Segoe UI"/>
        <family val="2"/>
      </rPr>
      <t>Section1</t>
    </r>
    <r>
      <rPr>
        <sz val="11"/>
        <color rgb="FFF9FAFB"/>
        <rFont val="Segoe UI"/>
        <family val="2"/>
      </rPr>
      <t> : Header avec titre "Montant à payer" et bouton de retour</t>
    </r>
  </si>
  <si>
    <r>
      <t>2- </t>
    </r>
    <r>
      <rPr>
        <sz val="11"/>
        <color rgb="FFF9FAFB"/>
        <rFont val="Segoe UI"/>
        <family val="2"/>
      </rPr>
      <t>Section2</t>
    </r>
    <r>
      <rPr>
        <sz val="11"/>
        <color rgb="FFF9FAFB"/>
        <rFont val="Segoe UI"/>
        <family val="2"/>
      </rPr>
      <t> : Récapitulatif client/fournisseur</t>
    </r>
  </si>
  <si>
    <t>- Fournisseur : CIE</t>
  </si>
  <si>
    <t>- Numéro contrat : 12345678</t>
  </si>
  <si>
    <r>
      <t>3- </t>
    </r>
    <r>
      <rPr>
        <sz val="11"/>
        <color rgb="FFF9FAFB"/>
        <rFont val="Segoe UI"/>
        <family val="2"/>
      </rPr>
      <t>Section3</t>
    </r>
    <r>
      <rPr>
        <sz val="11"/>
        <color rgb="FFF9FAFB"/>
        <rFont val="Segoe UI"/>
        <family val="2"/>
      </rPr>
      <t> : Montant dû mis en évidence</t>
    </r>
  </si>
  <si>
    <t>- Montant total en gros caractères</t>
  </si>
  <si>
    <t>- Date d'échéance</t>
  </si>
  <si>
    <r>
      <t>4- </t>
    </r>
    <r>
      <rPr>
        <sz val="11"/>
        <color rgb="FFF9FAFB"/>
        <rFont val="Segoe UI"/>
        <family val="2"/>
      </rPr>
      <t>Section4</t>
    </r>
    <r>
      <rPr>
        <sz val="11"/>
        <color rgb="FFF9FAFB"/>
        <rFont val="Segoe UI"/>
        <family val="2"/>
      </rPr>
      <t> : Bouton "Payer" en bas</t>
    </r>
  </si>
  <si>
    <r>
      <t>5- </t>
    </r>
    <r>
      <rPr>
        <sz val="11"/>
        <color rgb="FFF9FAFB"/>
        <rFont val="Segoe UI"/>
        <family val="2"/>
      </rPr>
      <t>Section5</t>
    </r>
    <r>
      <rPr>
        <sz val="11"/>
        <color rgb="FFF9FAFB"/>
        <rFont val="Segoe UI"/>
        <family val="2"/>
      </rPr>
      <t> : Option "Payer partiellement" si disponible</t>
    </r>
  </si>
  <si>
    <t>dueAmount</t>
  </si>
  <si>
    <t>dueDate</t>
  </si>
  <si>
    <t>partialPaymentAllowed</t>
  </si>
  <si>
    <t>Similaire à MoneyTransfer_Confirmation mais pour les factures</t>
  </si>
  <si>
    <t>Bills_PaymentConfirmation</t>
  </si>
  <si>
    <t>Fenêtre de confirmation de paiement de facture</t>
  </si>
  <si>
    <r>
      <t>2- </t>
    </r>
    <r>
      <rPr>
        <sz val="11"/>
        <color rgb="FFF9FAFB"/>
        <rFont val="Segoe UI"/>
        <family val="2"/>
      </rPr>
      <t>Section2</t>
    </r>
    <r>
      <rPr>
        <sz val="11"/>
        <color rgb="FFF9FAFB"/>
        <rFont val="Segoe UI"/>
        <family val="2"/>
      </rPr>
      <t> : Récapitulatif complet</t>
    </r>
  </si>
  <si>
    <t>- Fournisseur</t>
  </si>
  <si>
    <t>- Numéro de contrat</t>
  </si>
  <si>
    <t>- Montant payé</t>
  </si>
  <si>
    <t>- Frais éventuels</t>
  </si>
  <si>
    <r>
      <t>3- </t>
    </r>
    <r>
      <rPr>
        <sz val="11"/>
        <color rgb="FFF9FAFB"/>
        <rFont val="Segoe UI"/>
        <family val="2"/>
      </rPr>
      <t>Section3</t>
    </r>
    <r>
      <rPr>
        <sz val="11"/>
        <color rgb="FFF9FAFB"/>
        <rFont val="Segoe UI"/>
        <family val="2"/>
      </rPr>
      <t> : Bouton "Confirmer le paiement"</t>
    </r>
  </si>
  <si>
    <r>
      <t>4- </t>
    </r>
    <r>
      <rPr>
        <sz val="11"/>
        <color rgb="FFF9FAFB"/>
        <rFont val="Segoe UI"/>
        <family val="2"/>
      </rPr>
      <t>Section4</t>
    </r>
    <r>
      <rPr>
        <sz val="11"/>
        <color rgb="FFF9FAFB"/>
        <rFont val="Segoe UI"/>
        <family val="2"/>
      </rPr>
      <t> : Case à cocher "Enregistrer ce contrat pour plus tard"</t>
    </r>
  </si>
  <si>
    <t>billAmount</t>
  </si>
  <si>
    <t>saveContract</t>
  </si>
  <si>
    <t>Bills_PaymentSuccess</t>
  </si>
  <si>
    <t>Fenêtre de confirmation de paiement de facture réussi</t>
  </si>
  <si>
    <r>
      <t>1- </t>
    </r>
    <r>
      <rPr>
        <sz val="11"/>
        <color rgb="FFF9FAFB"/>
        <rFont val="Segoe UI"/>
        <family val="2"/>
      </rPr>
      <t>Section1</t>
    </r>
    <r>
      <rPr>
        <sz val="11"/>
        <color rgb="FFF9FAFB"/>
        <rFont val="Segoe UI"/>
        <family val="2"/>
      </rPr>
      <t> : Header avec titre "Paiement effectué" et bouton de retour</t>
    </r>
  </si>
  <si>
    <r>
      <t>2- </t>
    </r>
    <r>
      <rPr>
        <sz val="11"/>
        <color rgb="FFF9FAFB"/>
        <rFont val="Segoe UI"/>
        <family val="2"/>
      </rPr>
      <t>Section2</t>
    </r>
    <r>
      <rPr>
        <sz val="11"/>
        <color rgb="FFF9FAFB"/>
        <rFont val="Segoe UI"/>
        <family val="2"/>
      </rPr>
      <t> : Icône de succès (coche verte)</t>
    </r>
  </si>
  <si>
    <t>- Référence de transaction</t>
  </si>
  <si>
    <r>
      <t>5- </t>
    </r>
    <r>
      <rPr>
        <sz val="11"/>
        <color rgb="FFF9FAFB"/>
        <rFont val="Segoe UI"/>
        <family val="2"/>
      </rPr>
      <t>Section5</t>
    </r>
    <r>
      <rPr>
        <sz val="11"/>
        <color rgb="FFF9FAFB"/>
        <rFont val="Segoe UI"/>
        <family val="2"/>
      </rPr>
      <t> : Option de téléchargement du reçu</t>
    </r>
  </si>
  <si>
    <t>billReference</t>
  </si>
  <si>
    <t>amount</t>
  </si>
  <si>
    <t>Similaire à MoneyTransfer_Success (UI_ID 13)</t>
  </si>
  <si>
    <t>Bills_History</t>
  </si>
  <si>
    <t>Fenêtre d'historique des factures payées</t>
  </si>
  <si>
    <r>
      <t>1- </t>
    </r>
    <r>
      <rPr>
        <sz val="11"/>
        <color rgb="FFF9FAFB"/>
        <rFont val="Segoe UI"/>
        <family val="2"/>
      </rPr>
      <t>Section1</t>
    </r>
    <r>
      <rPr>
        <sz val="11"/>
        <color rgb="FFF9FAFB"/>
        <rFont val="Segoe UI"/>
        <family val="2"/>
      </rPr>
      <t> : Header avec titre "Historique des factures" et bouton de retour</t>
    </r>
  </si>
  <si>
    <r>
      <t>2- </t>
    </r>
    <r>
      <rPr>
        <sz val="11"/>
        <color rgb="FFF9FAFB"/>
        <rFont val="Segoe UI"/>
        <family val="2"/>
      </rPr>
      <t>Section2</t>
    </r>
    <r>
      <rPr>
        <sz val="11"/>
        <color rgb="FFF9FAFB"/>
        <rFont val="Segoe UI"/>
        <family val="2"/>
      </rPr>
      <t> : Filtres rapides</t>
    </r>
  </si>
  <si>
    <t>- "Tous", "Électricité", "Eau", "Télécom"</t>
  </si>
  <si>
    <r>
      <t>3- </t>
    </r>
    <r>
      <rPr>
        <sz val="11"/>
        <color rgb="FFF9FAFB"/>
        <rFont val="Segoe UI"/>
        <family val="2"/>
      </rPr>
      <t>Section3</t>
    </r>
    <r>
      <rPr>
        <sz val="11"/>
        <color rgb="FFF9FAFB"/>
        <rFont val="Segoe UI"/>
        <family val="2"/>
      </rPr>
      <t> : Liste chronologique des factures payées</t>
    </r>
  </si>
  <si>
    <t>- Chaque ligne : Fournisseur, montant, date de paiement, statut "Payé"</t>
  </si>
  <si>
    <r>
      <t>4- </t>
    </r>
    <r>
      <rPr>
        <sz val="11"/>
        <color rgb="FFF9FAFB"/>
        <rFont val="Segoe UI"/>
        <family val="2"/>
      </rPr>
      <t>Section4</t>
    </r>
    <r>
      <rPr>
        <sz val="11"/>
        <color rgb="FFF9FAFB"/>
        <rFont val="Segoe UI"/>
        <family val="2"/>
      </rPr>
      <t> : Option de recherche par période</t>
    </r>
  </si>
  <si>
    <t>billHistory</t>
  </si>
  <si>
    <t>filterType</t>
  </si>
  <si>
    <t>dateRange</t>
  </si>
  <si>
    <t>Structure similaire à TransactionsHistoryWindows</t>
  </si>
  <si>
    <t>Bills_SubscriptionServices</t>
  </si>
  <si>
    <t>Fenêtre des services d'abonnement disponibles</t>
  </si>
  <si>
    <r>
      <t>1- </t>
    </r>
    <r>
      <rPr>
        <sz val="11"/>
        <color rgb="FFF9FAFB"/>
        <rFont val="Segoe UI"/>
        <family val="2"/>
      </rPr>
      <t>Section1</t>
    </r>
    <r>
      <rPr>
        <sz val="11"/>
        <color rgb="FFF9FAFB"/>
        <rFont val="Segoe UI"/>
        <family val="2"/>
      </rPr>
      <t> : Header avec titre "Abonnements" et bouton de retour</t>
    </r>
  </si>
  <si>
    <r>
      <t>2- </t>
    </r>
    <r>
      <rPr>
        <sz val="11"/>
        <color rgb="FFF9FAFB"/>
        <rFont val="Segoe UI"/>
        <family val="2"/>
      </rPr>
      <t>Section2</t>
    </r>
    <r>
      <rPr>
        <sz val="11"/>
        <color rgb="FFF9FAFB"/>
        <rFont val="Segoe UI"/>
        <family val="2"/>
      </rPr>
      <t> : Liste des abonnements disponibles par catégorie</t>
    </r>
  </si>
  <si>
    <r>
      <t>- </t>
    </r>
    <r>
      <rPr>
        <sz val="11"/>
        <color rgb="FFF9FAFB"/>
        <rFont val="Segoe UI"/>
        <family val="2"/>
      </rPr>
      <t>Streaming</t>
    </r>
    <r>
      <rPr>
        <sz val="11"/>
        <color rgb="FFF9FAFB"/>
        <rFont val="Segoe UI"/>
        <family val="2"/>
      </rPr>
      <t> : Netflix, Spotify, Canal+</t>
    </r>
  </si>
  <si>
    <r>
      <t>- </t>
    </r>
    <r>
      <rPr>
        <sz val="11"/>
        <color rgb="FFF9FAFB"/>
        <rFont val="Segoe UI"/>
        <family val="2"/>
      </rPr>
      <t>Internet</t>
    </r>
    <r>
      <rPr>
        <sz val="11"/>
        <color rgb="FFF9FAFB"/>
        <rFont val="Segoe UI"/>
        <family val="2"/>
      </rPr>
      <t> : Box, Pass data</t>
    </r>
  </si>
  <si>
    <r>
      <t>- </t>
    </r>
    <r>
      <rPr>
        <sz val="11"/>
        <color rgb="FFF9FAFB"/>
        <rFont val="Segoe UI"/>
        <family val="2"/>
      </rPr>
      <t>Téléphonie</t>
    </r>
    <r>
      <rPr>
        <sz val="11"/>
        <color rgb="FFF9FAFB"/>
        <rFont val="Segoe UI"/>
        <family val="2"/>
      </rPr>
      <t> : Forfaits GSM</t>
    </r>
  </si>
  <si>
    <r>
      <t>3- </t>
    </r>
    <r>
      <rPr>
        <sz val="11"/>
        <color rgb="FFF9FAFB"/>
        <rFont val="Segoe UI"/>
        <family val="2"/>
      </rPr>
      <t>Section3</t>
    </r>
    <r>
      <rPr>
        <sz val="11"/>
        <color rgb="FFF9FAFB"/>
        <rFont val="Segoe UI"/>
        <family val="2"/>
      </rPr>
      <t> : Abonnements actifs de l'utilisateur</t>
    </r>
  </si>
  <si>
    <t>subscriptionList</t>
  </si>
  <si>
    <t>activeSubscriptions</t>
  </si>
  <si>
    <t>categoryFilter</t>
  </si>
  <si>
    <t>Bills_SubscriptionDetails</t>
  </si>
  <si>
    <t>Fenêtre des détails d'un abonnement spécifique</t>
  </si>
  <si>
    <r>
      <t>1- </t>
    </r>
    <r>
      <rPr>
        <sz val="11"/>
        <color rgb="FFF9FAFB"/>
        <rFont val="Segoe UI"/>
        <family val="2"/>
      </rPr>
      <t>Section1</t>
    </r>
    <r>
      <rPr>
        <sz val="11"/>
        <color rgb="FFF9FAFB"/>
        <rFont val="Segoe UI"/>
        <family val="2"/>
      </rPr>
      <t> : Header avec titre "Détails abonnement" et bouton de retour</t>
    </r>
  </si>
  <si>
    <r>
      <t>2- </t>
    </r>
    <r>
      <rPr>
        <sz val="11"/>
        <color rgb="FFF9FAFB"/>
        <rFont val="Segoe UI"/>
        <family val="2"/>
      </rPr>
      <t>Section2</t>
    </r>
    <r>
      <rPr>
        <sz val="11"/>
        <color rgb="FFF9FAFB"/>
        <rFont val="Segoe UI"/>
        <family val="2"/>
      </rPr>
      <t> : Logo et nom du service</t>
    </r>
  </si>
  <si>
    <r>
      <t>3- </t>
    </r>
    <r>
      <rPr>
        <sz val="11"/>
        <color rgb="FFF9FAFB"/>
        <rFont val="Segoe UI"/>
        <family val="2"/>
      </rPr>
      <t>Section3</t>
    </r>
    <r>
      <rPr>
        <sz val="11"/>
        <color rgb="FFF9FAFB"/>
        <rFont val="Segoe UI"/>
        <family val="2"/>
      </rPr>
      <t> : Offres disponibles</t>
    </r>
  </si>
  <si>
    <t>- Forfait mensuel : prix</t>
  </si>
  <si>
    <t>- Forfait trimestriel : prix (avec économie)</t>
  </si>
  <si>
    <t>- Forfait annuel : prix (avec économie)</t>
  </si>
  <si>
    <r>
      <t>4- </t>
    </r>
    <r>
      <rPr>
        <sz val="11"/>
        <color rgb="FFF9FAFB"/>
        <rFont val="Segoe UI"/>
        <family val="2"/>
      </rPr>
      <t>Section4</t>
    </r>
    <r>
      <rPr>
        <sz val="11"/>
        <color rgb="FFF9FAFB"/>
        <rFont val="Segoe UI"/>
        <family val="2"/>
      </rPr>
      <t> : Bouton "S'abonner" pour chaque offre</t>
    </r>
  </si>
  <si>
    <t>serviceName</t>
  </si>
  <si>
    <t>subscriptionPlans</t>
  </si>
  <si>
    <t>prices</t>
  </si>
  <si>
    <t>discountInfo</t>
  </si>
  <si>
    <t>Bills_SubscriptionConfirmation</t>
  </si>
  <si>
    <t>Fenêtre de confirmation d'abonnement</t>
  </si>
  <si>
    <r>
      <t>1- </t>
    </r>
    <r>
      <rPr>
        <sz val="11"/>
        <color rgb="FFF9FAFB"/>
        <rFont val="Segoe UI"/>
        <family val="2"/>
      </rPr>
      <t>Section1</t>
    </r>
    <r>
      <rPr>
        <sz val="11"/>
        <color rgb="FFF9FAFB"/>
        <rFont val="Segoe UI"/>
        <family val="2"/>
      </rPr>
      <t> : Header avec titre "Confirmation abonnement" et bouton de retour</t>
    </r>
  </si>
  <si>
    <r>
      <t>2- </t>
    </r>
    <r>
      <rPr>
        <sz val="11"/>
        <color rgb="FFF9FAFB"/>
        <rFont val="Segoe UI"/>
        <family val="2"/>
      </rPr>
      <t>Section2</t>
    </r>
    <r>
      <rPr>
        <sz val="11"/>
        <color rgb="FFF9FAFB"/>
        <rFont val="Segoe UI"/>
        <family val="2"/>
      </rPr>
      <t> : Récapitulatif</t>
    </r>
  </si>
  <si>
    <t>- Service : Netflix</t>
  </si>
  <si>
    <t>- Forfait : Mensuel</t>
  </si>
  <si>
    <t>- Prix : 8 500 FCFA/mois</t>
  </si>
  <si>
    <t>- Prochain prélèvement : date</t>
  </si>
  <si>
    <r>
      <t>3- </t>
    </r>
    <r>
      <rPr>
        <sz val="11"/>
        <color rgb="FFF9FAFB"/>
        <rFont val="Segoe UI"/>
        <family val="2"/>
      </rPr>
      <t>Section3</t>
    </r>
    <r>
      <rPr>
        <sz val="11"/>
        <color rgb="FFF9FAFB"/>
        <rFont val="Segoe UI"/>
        <family val="2"/>
      </rPr>
      <t> : Bouton "Confirmer l'abonnement"</t>
    </r>
  </si>
  <si>
    <r>
      <t>4- </t>
    </r>
    <r>
      <rPr>
        <sz val="11"/>
        <color rgb="FFF9FAFB"/>
        <rFont val="Segoe UI"/>
        <family val="2"/>
      </rPr>
      <t>Section4</t>
    </r>
    <r>
      <rPr>
        <sz val="11"/>
        <color rgb="FFF9FAFB"/>
        <rFont val="Segoe UI"/>
        <family val="2"/>
      </rPr>
      <t> : Case à cocher "Activer le renouvellement automatique"</t>
    </r>
  </si>
  <si>
    <t>subscriptionType</t>
  </si>
  <si>
    <t>price</t>
  </si>
  <si>
    <t>nextBillingDate</t>
  </si>
  <si>
    <t>autoRenewal</t>
  </si>
  <si>
    <t>Bills_SubscriptionSuccess</t>
  </si>
  <si>
    <t>Fenêtre de confirmation d'abonnement réussi</t>
  </si>
  <si>
    <r>
      <t>1- </t>
    </r>
    <r>
      <rPr>
        <sz val="11"/>
        <color rgb="FFF9FAFB"/>
        <rFont val="Segoe UI"/>
        <family val="2"/>
      </rPr>
      <t>Section1</t>
    </r>
    <r>
      <rPr>
        <sz val="11"/>
        <color rgb="FFF9FAFB"/>
        <rFont val="Segoe UI"/>
        <family val="2"/>
      </rPr>
      <t> : Header avec titre "Abonnement activé" et bouton de retour</t>
    </r>
  </si>
  <si>
    <r>
      <t>2- </t>
    </r>
    <r>
      <rPr>
        <sz val="11"/>
        <color rgb="FFF9FAFB"/>
        <rFont val="Segoe UI"/>
        <family val="2"/>
      </rPr>
      <t>Section2</t>
    </r>
    <r>
      <rPr>
        <sz val="11"/>
        <color rgb="FFF9FAFB"/>
        <rFont val="Segoe UI"/>
        <family val="2"/>
      </rPr>
      <t> : Icône de succès</t>
    </r>
  </si>
  <si>
    <t>- Service et forfait</t>
  </si>
  <si>
    <t>- Date de début</t>
  </si>
  <si>
    <t>plan</t>
  </si>
  <si>
    <t>startDate</t>
  </si>
  <si>
    <t>subscriptionId</t>
  </si>
  <si>
    <t>25-26</t>
  </si>
  <si>
    <t>Business_Dashboard</t>
  </si>
  <si>
    <t>Tableau de bord principal version Business</t>
  </si>
  <si>
    <r>
      <t>1- </t>
    </r>
    <r>
      <rPr>
        <sz val="11"/>
        <color theme="1"/>
        <rFont val="Segoe UI"/>
        <family val="2"/>
      </rPr>
      <t>Section1</t>
    </r>
    <r>
      <rPr>
        <sz val="11"/>
        <color theme="1"/>
        <rFont val="Segoe UI"/>
        <family val="2"/>
      </rPr>
      <t> : Header avec sélecteur de compte "Business" et notifications</t>
    </r>
  </si>
  <si>
    <r>
      <t>2- </t>
    </r>
    <r>
      <rPr>
        <sz val="11"/>
        <color theme="1"/>
        <rFont val="Segoe UI"/>
        <family val="2"/>
      </rPr>
      <t>Section2</t>
    </r>
    <r>
      <rPr>
        <sz val="11"/>
        <color theme="1"/>
        <rFont val="Segoe UI"/>
        <family val="2"/>
      </rPr>
      <t> : Résumé financier</t>
    </r>
  </si>
  <si>
    <t>- Chiffre d'affaires du jour</t>
  </si>
  <si>
    <t>- Chiffre d'affaires du mois</t>
  </si>
  <si>
    <t>- Nombre de transactions</t>
  </si>
  <si>
    <r>
      <t>3- </t>
    </r>
    <r>
      <rPr>
        <sz val="11"/>
        <color theme="1"/>
        <rFont val="Segoe UI"/>
        <family val="2"/>
      </rPr>
      <t>Section3</t>
    </r>
    <r>
      <rPr>
        <sz val="11"/>
        <color theme="1"/>
        <rFont val="Segoe UI"/>
        <family val="2"/>
      </rPr>
      <t> : Graphiques d'activité (fréquentation, ventes)</t>
    </r>
  </si>
  <si>
    <r>
      <t>4- </t>
    </r>
    <r>
      <rPr>
        <sz val="11"/>
        <color theme="1"/>
        <rFont val="Segoe UI"/>
        <family val="2"/>
      </rPr>
      <t>Section4</t>
    </r>
    <r>
      <rPr>
        <sz val="11"/>
        <color theme="1"/>
        <rFont val="Segoe UI"/>
        <family val="2"/>
      </rPr>
      <t> : Transactions récentes de l'entreprise</t>
    </r>
  </si>
  <si>
    <r>
      <t>5- </t>
    </r>
    <r>
      <rPr>
        <sz val="11"/>
        <color theme="1"/>
        <rFont val="Segoe UI"/>
        <family val="2"/>
      </rPr>
      <t>Section5</t>
    </r>
    <r>
      <rPr>
        <sz val="11"/>
        <color theme="1"/>
        <rFont val="Segoe UI"/>
        <family val="2"/>
      </rPr>
      <t> : Accès rapide : "Nouvelle vente", "Stock", "Rapports"</t>
    </r>
  </si>
  <si>
    <t>dailyRevenue</t>
  </si>
  <si>
    <t>monthlyRevenue</t>
  </si>
  <si>
    <t>transactionsCount</t>
  </si>
  <si>
    <t>businessId</t>
  </si>
  <si>
    <t>Adaptation de MainWindow_with_balance_visiblility_on pour les professionnels</t>
  </si>
  <si>
    <t>27-28</t>
  </si>
  <si>
    <t>Business_ProductsManagement</t>
  </si>
  <si>
    <t>Gestion des produits et services</t>
  </si>
  <si>
    <r>
      <t>1- </t>
    </r>
    <r>
      <rPr>
        <sz val="11"/>
        <color theme="1"/>
        <rFont val="Segoe UI"/>
        <family val="2"/>
      </rPr>
      <t>Section1</t>
    </r>
    <r>
      <rPr>
        <sz val="11"/>
        <color theme="1"/>
        <rFont val="Segoe UI"/>
        <family val="2"/>
      </rPr>
      <t> : Header avec titre "Produits" et bouton "Ajouter"</t>
    </r>
  </si>
  <si>
    <r>
      <t>2- </t>
    </r>
    <r>
      <rPr>
        <sz val="11"/>
        <color theme="1"/>
        <rFont val="Segoe UI"/>
        <family val="2"/>
      </rPr>
      <t>Section2</t>
    </r>
    <r>
      <rPr>
        <sz val="11"/>
        <color theme="1"/>
        <rFont val="Segoe UI"/>
        <family val="2"/>
      </rPr>
      <t> : Liste des produits avec</t>
    </r>
  </si>
  <si>
    <t>- Nom du produit</t>
  </si>
  <si>
    <t>- Prix unitaire</t>
  </si>
  <si>
    <t>- Stock disponible</t>
  </si>
  <si>
    <t>- Statut (actif/inactif)</t>
  </si>
  <si>
    <r>
      <t>3- </t>
    </r>
    <r>
      <rPr>
        <sz val="11"/>
        <color theme="1"/>
        <rFont val="Segoe UI"/>
        <family val="2"/>
      </rPr>
      <t>Section3</t>
    </r>
    <r>
      <rPr>
        <sz val="11"/>
        <color theme="1"/>
        <rFont val="Segoe UI"/>
        <family val="2"/>
      </rPr>
      <t> : Catégories de produits en filtres rapides</t>
    </r>
  </si>
  <si>
    <t>productList</t>
  </si>
  <si>
    <t>stockLevels</t>
  </si>
  <si>
    <t>categories</t>
  </si>
  <si>
    <t>29-30</t>
  </si>
  <si>
    <t>Business_ProductAdd</t>
  </si>
  <si>
    <t>Ajout/modification d'un produit</t>
  </si>
  <si>
    <r>
      <t>1- </t>
    </r>
    <r>
      <rPr>
        <sz val="11"/>
        <color theme="1"/>
        <rFont val="Segoe UI"/>
        <family val="2"/>
      </rPr>
      <t>Section1</t>
    </r>
    <r>
      <rPr>
        <sz val="11"/>
        <color theme="1"/>
        <rFont val="Segoe UI"/>
        <family val="2"/>
      </rPr>
      <t> : Header avec titre "Nouveau produit"</t>
    </r>
  </si>
  <si>
    <r>
      <t>2- </t>
    </r>
    <r>
      <rPr>
        <sz val="11"/>
        <color theme="1"/>
        <rFont val="Segoe UI"/>
        <family val="2"/>
      </rPr>
      <t>Section2</t>
    </r>
    <r>
      <rPr>
        <sz val="11"/>
        <color theme="1"/>
        <rFont val="Segoe UI"/>
        <family val="2"/>
      </rPr>
      <t> : Formulaire complet</t>
    </r>
  </si>
  <si>
    <t>- Description</t>
  </si>
  <si>
    <t>- Catégorie (dropdown)</t>
  </si>
  <si>
    <t>- Prix d'achat</t>
  </si>
  <si>
    <t>- Prix de vente</t>
  </si>
  <si>
    <t>- Stock initial</t>
  </si>
  <si>
    <t>- Image du produit (optionnel)</t>
  </si>
  <si>
    <r>
      <t>3- </t>
    </r>
    <r>
      <rPr>
        <sz val="11"/>
        <color theme="1"/>
        <rFont val="Segoe UI"/>
        <family val="2"/>
      </rPr>
      <t>Section3</t>
    </r>
    <r>
      <rPr>
        <sz val="11"/>
        <color theme="1"/>
        <rFont val="Segoe UI"/>
        <family val="2"/>
      </rPr>
      <t> : Boutons "Enregistrer" et "Annuler"</t>
    </r>
  </si>
  <si>
    <t>productName</t>
  </si>
  <si>
    <t>description</t>
  </si>
  <si>
    <t>category</t>
  </si>
  <si>
    <t>purchasePrice</t>
  </si>
  <si>
    <t>sellingPrice</t>
  </si>
  <si>
    <t>initialStock</t>
  </si>
  <si>
    <t>31-32</t>
  </si>
  <si>
    <t>Business_Inventory</t>
  </si>
  <si>
    <t>Gestion des stocks</t>
  </si>
  <si>
    <r>
      <t>1- </t>
    </r>
    <r>
      <rPr>
        <sz val="11"/>
        <color theme="1"/>
        <rFont val="Segoe UI"/>
        <family val="2"/>
      </rPr>
      <t>Section1</t>
    </r>
    <r>
      <rPr>
        <sz val="11"/>
        <color theme="1"/>
        <rFont val="Segoe UI"/>
        <family val="2"/>
      </rPr>
      <t> : Header avec titre "Stock" et options de filtre</t>
    </r>
  </si>
  <si>
    <r>
      <t>2- </t>
    </r>
    <r>
      <rPr>
        <sz val="11"/>
        <color theme="1"/>
        <rFont val="Segoe UI"/>
        <family val="2"/>
      </rPr>
      <t>Section2</t>
    </r>
    <r>
      <rPr>
        <sz val="11"/>
        <color theme="1"/>
        <rFont val="Segoe UI"/>
        <family val="2"/>
      </rPr>
      <t> : Alertes de stock bas (produits à réapprovisionner)</t>
    </r>
  </si>
  <si>
    <r>
      <t>3- </t>
    </r>
    <r>
      <rPr>
        <sz val="11"/>
        <color theme="1"/>
        <rFont val="Segoe UI"/>
        <family val="2"/>
      </rPr>
      <t>Section3</t>
    </r>
    <r>
      <rPr>
        <sz val="11"/>
        <color theme="1"/>
        <rFont val="Segoe UI"/>
        <family val="2"/>
      </rPr>
      <t> : Liste complète des stocks</t>
    </r>
  </si>
  <si>
    <t>- Produit</t>
  </si>
  <si>
    <t>- Stock actuel</t>
  </si>
  <si>
    <t>- Stock minimum</t>
  </si>
  <si>
    <t>- Dernière mise à jour</t>
  </si>
  <si>
    <r>
      <t>4- </t>
    </r>
    <r>
      <rPr>
        <sz val="11"/>
        <color theme="1"/>
        <rFont val="Segoe UI"/>
        <family val="2"/>
      </rPr>
      <t>Section4</t>
    </r>
    <r>
      <rPr>
        <sz val="11"/>
        <color theme="1"/>
        <rFont val="Segoe UI"/>
        <family val="2"/>
      </rPr>
      <t> : Bouton "Ajuster le stock" par produit</t>
    </r>
  </si>
  <si>
    <t>inventoryList</t>
  </si>
  <si>
    <t>lowStockAlerts</t>
  </si>
  <si>
    <t>minStockLevels</t>
  </si>
  <si>
    <t>33-34</t>
  </si>
  <si>
    <t>Business_InventoryAdjust</t>
  </si>
  <si>
    <t>Ajustement de stock pour un produit</t>
  </si>
  <si>
    <r>
      <t>1- </t>
    </r>
    <r>
      <rPr>
        <sz val="11"/>
        <color theme="1"/>
        <rFont val="Segoe UI"/>
        <family val="2"/>
      </rPr>
      <t>Section1</t>
    </r>
    <r>
      <rPr>
        <sz val="11"/>
        <color theme="1"/>
        <rFont val="Segoe UI"/>
        <family val="2"/>
      </rPr>
      <t> : Header avec titre "Ajuster le stock"</t>
    </r>
  </si>
  <si>
    <r>
      <t>2- </t>
    </r>
    <r>
      <rPr>
        <sz val="11"/>
        <color theme="1"/>
        <rFont val="Segoe UI"/>
        <family val="2"/>
      </rPr>
      <t>Section2</t>
    </r>
    <r>
      <rPr>
        <sz val="11"/>
        <color theme="1"/>
        <rFont val="Segoe UI"/>
        <family val="2"/>
      </rPr>
      <t> : Informations produit</t>
    </r>
  </si>
  <si>
    <t>- Nom</t>
  </si>
  <si>
    <r>
      <t>3- </t>
    </r>
    <r>
      <rPr>
        <sz val="11"/>
        <color theme="1"/>
        <rFont val="Segoe UI"/>
        <family val="2"/>
      </rPr>
      <t>Section3</t>
    </r>
    <r>
      <rPr>
        <sz val="11"/>
        <color theme="1"/>
        <rFont val="Segoe UI"/>
        <family val="2"/>
      </rPr>
      <t> : Formulaire d'ajustement</t>
    </r>
  </si>
  <si>
    <t>- Nouvelle quantité</t>
  </si>
  <si>
    <t>- Motif de l'ajustement (inventaire, casse, retour)</t>
  </si>
  <si>
    <t>- Notes</t>
  </si>
  <si>
    <r>
      <t>4- </t>
    </r>
    <r>
      <rPr>
        <sz val="11"/>
        <color theme="1"/>
        <rFont val="Segoe UI"/>
        <family val="2"/>
      </rPr>
      <t>Section4</t>
    </r>
    <r>
      <rPr>
        <sz val="11"/>
        <color theme="1"/>
        <rFont val="Segoe UI"/>
        <family val="2"/>
      </rPr>
      <t> : Bouton "Valider l'ajustement"</t>
    </r>
  </si>
  <si>
    <t>productId</t>
  </si>
  <si>
    <t>currentStock</t>
  </si>
  <si>
    <t>newStock</t>
  </si>
  <si>
    <t>adjustmentReason</t>
  </si>
  <si>
    <t>notes</t>
  </si>
  <si>
    <t>35-36</t>
  </si>
  <si>
    <t>Business_SalesPoint</t>
  </si>
  <si>
    <t>Interface de point de vente (caisse)</t>
  </si>
  <si>
    <r>
      <t>1- </t>
    </r>
    <r>
      <rPr>
        <sz val="11"/>
        <color theme="1"/>
        <rFont val="Segoe UI"/>
        <family val="2"/>
      </rPr>
      <t>Section1</t>
    </r>
    <r>
      <rPr>
        <sz val="11"/>
        <color theme="1"/>
        <rFont val="Segoe UI"/>
        <family val="2"/>
      </rPr>
      <t> : Header avec titre "Caisse" et sélecteur de vendeur</t>
    </r>
  </si>
  <si>
    <r>
      <t>2- </t>
    </r>
    <r>
      <rPr>
        <sz val="11"/>
        <color theme="1"/>
        <rFont val="Segoe UI"/>
        <family val="2"/>
      </rPr>
      <t>Section2</t>
    </r>
    <r>
      <rPr>
        <sz val="11"/>
        <color theme="1"/>
        <rFont val="Segoe UI"/>
        <family val="2"/>
      </rPr>
      <t> : Panier en cours</t>
    </r>
  </si>
  <si>
    <t>- Liste des produits ajoutés avec quantités et prix</t>
  </si>
  <si>
    <t>- Sous-total</t>
  </si>
  <si>
    <t>- Taxes</t>
  </si>
  <si>
    <t>- Total</t>
  </si>
  <si>
    <r>
      <t>3- </t>
    </r>
    <r>
      <rPr>
        <sz val="11"/>
        <color theme="1"/>
        <rFont val="Segoe UI"/>
        <family val="2"/>
      </rPr>
      <t>Section3</t>
    </r>
    <r>
      <rPr>
        <sz val="11"/>
        <color theme="1"/>
        <rFont val="Segoe UI"/>
        <family val="2"/>
      </rPr>
      <t> : Scan de code-barres (champ de saisie)</t>
    </r>
  </si>
  <si>
    <r>
      <t>4- </t>
    </r>
    <r>
      <rPr>
        <sz val="11"/>
        <color theme="1"/>
        <rFont val="Segoe UI"/>
        <family val="2"/>
      </rPr>
      <t>Section4</t>
    </r>
    <r>
      <rPr>
        <sz val="11"/>
        <color theme="1"/>
        <rFont val="Segoe UI"/>
        <family val="2"/>
      </rPr>
      <t> : Paiement avec options (espèces, carte, mobile money)</t>
    </r>
  </si>
  <si>
    <t>cartItems</t>
  </si>
  <si>
    <t>subtotal</t>
  </si>
  <si>
    <t>tax</t>
  </si>
  <si>
    <t>total</t>
  </si>
  <si>
    <t>paymentMethods</t>
  </si>
  <si>
    <t>37-38</t>
  </si>
  <si>
    <t>Business_SalesHistory</t>
  </si>
  <si>
    <t>Historique des ventes</t>
  </si>
  <si>
    <r>
      <t>1- </t>
    </r>
    <r>
      <rPr>
        <sz val="11"/>
        <color theme="1"/>
        <rFont val="Segoe UI"/>
        <family val="2"/>
      </rPr>
      <t>Section1</t>
    </r>
    <r>
      <rPr>
        <sz val="11"/>
        <color theme="1"/>
        <rFont val="Segoe UI"/>
        <family val="2"/>
      </rPr>
      <t> : Header avec titre "Ventes" et filtre par date</t>
    </r>
  </si>
  <si>
    <r>
      <t>2- </t>
    </r>
    <r>
      <rPr>
        <sz val="11"/>
        <color theme="1"/>
        <rFont val="Segoe UI"/>
        <family val="2"/>
      </rPr>
      <t>Section2</t>
    </r>
    <r>
      <rPr>
        <sz val="11"/>
        <color theme="1"/>
        <rFont val="Segoe UI"/>
        <family val="2"/>
      </rPr>
      <t> : Résumé des ventes (aujourd'hui, cette semaine, ce mois)</t>
    </r>
  </si>
  <si>
    <r>
      <t>3- </t>
    </r>
    <r>
      <rPr>
        <sz val="11"/>
        <color theme="1"/>
        <rFont val="Segoe UI"/>
        <family val="2"/>
      </rPr>
      <t>Section3</t>
    </r>
    <r>
      <rPr>
        <sz val="11"/>
        <color theme="1"/>
        <rFont val="Segoe UI"/>
        <family val="2"/>
      </rPr>
      <t> : Liste des transactions</t>
    </r>
  </si>
  <si>
    <t>- Référence</t>
  </si>
  <si>
    <t>- Montant</t>
  </si>
  <si>
    <t>- Mode de paiement</t>
  </si>
  <si>
    <t>- Statut</t>
  </si>
  <si>
    <t>- Vendeur</t>
  </si>
  <si>
    <r>
      <t>4- </t>
    </r>
    <r>
      <rPr>
        <sz val="11"/>
        <color theme="1"/>
        <rFont val="Segoe UI"/>
        <family val="2"/>
      </rPr>
      <t>Section4</t>
    </r>
    <r>
      <rPr>
        <sz val="11"/>
        <color theme="1"/>
        <rFont val="Segoe UI"/>
        <family val="2"/>
      </rPr>
      <t> : Option d'export des rapports</t>
    </r>
  </si>
  <si>
    <t>salesHistory</t>
  </si>
  <si>
    <t>totalSales</t>
  </si>
  <si>
    <t>paymentMethodBreakdown</t>
  </si>
  <si>
    <t>39-40</t>
  </si>
  <si>
    <t>Business_SalesDetails</t>
  </si>
  <si>
    <t>Détails d'une vente spécifique</t>
  </si>
  <si>
    <r>
      <t>1- </t>
    </r>
    <r>
      <rPr>
        <sz val="11"/>
        <color theme="1"/>
        <rFont val="Segoe UI"/>
        <family val="2"/>
      </rPr>
      <t>Section1</t>
    </r>
    <r>
      <rPr>
        <sz val="11"/>
        <color theme="1"/>
        <rFont val="Segoe UI"/>
        <family val="2"/>
      </rPr>
      <t> : Header avec titre "Détails de la vente" et bouton retour</t>
    </r>
  </si>
  <si>
    <r>
      <t>2- </t>
    </r>
    <r>
      <rPr>
        <sz val="11"/>
        <color theme="1"/>
        <rFont val="Segoe UI"/>
        <family val="2"/>
      </rPr>
      <t>Section2</t>
    </r>
    <r>
      <rPr>
        <sz val="11"/>
        <color theme="1"/>
        <rFont val="Segoe UI"/>
        <family val="2"/>
      </rPr>
      <t> : Informations générales</t>
    </r>
  </si>
  <si>
    <t>- Date et heure</t>
  </si>
  <si>
    <t>- Client (si enregistré)</t>
  </si>
  <si>
    <r>
      <t>3- </t>
    </r>
    <r>
      <rPr>
        <sz val="11"/>
        <color theme="1"/>
        <rFont val="Segoe UI"/>
        <family val="2"/>
      </rPr>
      <t>Section3</t>
    </r>
    <r>
      <rPr>
        <sz val="11"/>
        <color theme="1"/>
        <rFont val="Segoe UI"/>
        <family val="2"/>
      </rPr>
      <t> : Produits vendus (liste détaillée)</t>
    </r>
  </si>
  <si>
    <r>
      <t>4- </t>
    </r>
    <r>
      <rPr>
        <sz val="11"/>
        <color theme="1"/>
        <rFont val="Segoe UI"/>
        <family val="2"/>
      </rPr>
      <t>Section4</t>
    </r>
    <r>
      <rPr>
        <sz val="11"/>
        <color theme="1"/>
        <rFont val="Segoe UI"/>
        <family val="2"/>
      </rPr>
      <t> : Récapitulatif financier</t>
    </r>
  </si>
  <si>
    <r>
      <t>5- </t>
    </r>
    <r>
      <rPr>
        <sz val="11"/>
        <color theme="1"/>
        <rFont val="Segoe UI"/>
        <family val="2"/>
      </rPr>
      <t>Section5</t>
    </r>
    <r>
      <rPr>
        <sz val="11"/>
        <color theme="1"/>
        <rFont val="Segoe UI"/>
        <family val="2"/>
      </rPr>
      <t> : Boutons "Reçu", "Remboursement"</t>
    </r>
  </si>
  <si>
    <t>saleId</t>
  </si>
  <si>
    <t>saleDetails</t>
  </si>
  <si>
    <t>items</t>
  </si>
  <si>
    <t>refundEligible</t>
  </si>
  <si>
    <t>41-42</t>
  </si>
  <si>
    <t>Business_Customers</t>
  </si>
  <si>
    <t>Gestion des clients</t>
  </si>
  <si>
    <r>
      <t>1- </t>
    </r>
    <r>
      <rPr>
        <sz val="11"/>
        <color theme="1"/>
        <rFont val="Segoe UI"/>
        <family val="2"/>
      </rPr>
      <t>Section1</t>
    </r>
    <r>
      <rPr>
        <sz val="11"/>
        <color theme="1"/>
        <rFont val="Segoe UI"/>
        <family val="2"/>
      </rPr>
      <t> : Header avec titre "Clients" et bouton "Ajouter"</t>
    </r>
  </si>
  <si>
    <r>
      <t>2- </t>
    </r>
    <r>
      <rPr>
        <sz val="11"/>
        <color theme="1"/>
        <rFont val="Segoe UI"/>
        <family val="2"/>
      </rPr>
      <t>Section2</t>
    </r>
    <r>
      <rPr>
        <sz val="11"/>
        <color theme="1"/>
        <rFont val="Segoe UI"/>
        <family val="2"/>
      </rPr>
      <t> : Barre de recherche</t>
    </r>
  </si>
  <si>
    <r>
      <t>3- </t>
    </r>
    <r>
      <rPr>
        <sz val="11"/>
        <color theme="1"/>
        <rFont val="Segoe UI"/>
        <family val="2"/>
      </rPr>
      <t>Section3</t>
    </r>
    <r>
      <rPr>
        <sz val="11"/>
        <color theme="1"/>
        <rFont val="Segoe UI"/>
        <family val="2"/>
      </rPr>
      <t> : Liste des clients avec</t>
    </r>
  </si>
  <si>
    <t>- Téléphone</t>
  </si>
  <si>
    <t>- Email</t>
  </si>
  <si>
    <t>- Total des achats</t>
  </si>
  <si>
    <t>- Dernier achat</t>
  </si>
  <si>
    <r>
      <t>4- </t>
    </r>
    <r>
      <rPr>
        <sz val="11"/>
        <color theme="1"/>
        <rFont val="Segoe UI"/>
        <family val="2"/>
      </rPr>
      <t>Section4</t>
    </r>
    <r>
      <rPr>
        <sz val="11"/>
        <color theme="1"/>
        <rFont val="Segoe UI"/>
        <family val="2"/>
      </rPr>
      <t> : Filtres par catégorie de client</t>
    </r>
  </si>
  <si>
    <t>customerList</t>
  </si>
  <si>
    <t>customerCategories</t>
  </si>
  <si>
    <t>searchQuery</t>
  </si>
  <si>
    <t>43-44</t>
  </si>
  <si>
    <t>Business_CustomerDetails</t>
  </si>
  <si>
    <t>Détails d'un client</t>
  </si>
  <si>
    <r>
      <t>1- </t>
    </r>
    <r>
      <rPr>
        <sz val="11"/>
        <color theme="1"/>
        <rFont val="Segoe UI"/>
        <family val="2"/>
      </rPr>
      <t>Section1</t>
    </r>
    <r>
      <rPr>
        <sz val="11"/>
        <color theme="1"/>
        <rFont val="Segoe UI"/>
        <family val="2"/>
      </rPr>
      <t> : Header avec titre "Client" et options (modifier, contacter)</t>
    </r>
  </si>
  <si>
    <r>
      <t>2- </t>
    </r>
    <r>
      <rPr>
        <sz val="11"/>
        <color theme="1"/>
        <rFont val="Segoe UI"/>
        <family val="2"/>
      </rPr>
      <t>Section2</t>
    </r>
    <r>
      <rPr>
        <sz val="11"/>
        <color theme="1"/>
        <rFont val="Segoe UI"/>
        <family val="2"/>
      </rPr>
      <t> : Informations client</t>
    </r>
  </si>
  <si>
    <t>- Nom complet</t>
  </si>
  <si>
    <t>- Adresse</t>
  </si>
  <si>
    <r>
      <t>3- </t>
    </r>
    <r>
      <rPr>
        <sz val="11"/>
        <color theme="1"/>
        <rFont val="Segoe UI"/>
        <family val="2"/>
      </rPr>
      <t>Section3</t>
    </r>
    <r>
      <rPr>
        <sz val="11"/>
        <color theme="1"/>
        <rFont val="Segoe UI"/>
        <family val="2"/>
      </rPr>
      <t> : Statistiques</t>
    </r>
  </si>
  <si>
    <t>- Panier moyen</t>
  </si>
  <si>
    <r>
      <t>4- </t>
    </r>
    <r>
      <rPr>
        <sz val="11"/>
        <color theme="1"/>
        <rFont val="Segoe UI"/>
        <family val="2"/>
      </rPr>
      <t>Section4</t>
    </r>
    <r>
      <rPr>
        <sz val="11"/>
        <color theme="1"/>
        <rFont val="Segoe UI"/>
        <family val="2"/>
      </rPr>
      <t> : Historique des achats du client</t>
    </r>
  </si>
  <si>
    <r>
      <t>5- </t>
    </r>
    <r>
      <rPr>
        <sz val="11"/>
        <color theme="1"/>
        <rFont val="Segoe UI"/>
        <family val="2"/>
      </rPr>
      <t>Section5</t>
    </r>
    <r>
      <rPr>
        <sz val="11"/>
        <color theme="1"/>
        <rFont val="Segoe UI"/>
        <family val="2"/>
      </rPr>
      <t> : Boutons "Nouvelle vente" pour ce client</t>
    </r>
  </si>
  <si>
    <t>customerId</t>
  </si>
  <si>
    <t>contactInfo</t>
  </si>
  <si>
    <t>purchaseStats</t>
  </si>
  <si>
    <t>transactionHistory</t>
  </si>
  <si>
    <t>45-46</t>
  </si>
  <si>
    <t>Business_Employees</t>
  </si>
  <si>
    <t>Gestion des employés</t>
  </si>
  <si>
    <r>
      <t>1- </t>
    </r>
    <r>
      <rPr>
        <sz val="11"/>
        <color theme="1"/>
        <rFont val="Segoe UI"/>
        <family val="2"/>
      </rPr>
      <t>Section1</t>
    </r>
    <r>
      <rPr>
        <sz val="11"/>
        <color theme="1"/>
        <rFont val="Segoe UI"/>
        <family val="2"/>
      </rPr>
      <t> : Header avec titre "Équipe" et bouton "Ajouter"</t>
    </r>
  </si>
  <si>
    <r>
      <t>2- </t>
    </r>
    <r>
      <rPr>
        <sz val="11"/>
        <color theme="1"/>
        <rFont val="Segoe UI"/>
        <family val="2"/>
      </rPr>
      <t>Section2</t>
    </r>
    <r>
      <rPr>
        <sz val="11"/>
        <color theme="1"/>
        <rFont val="Segoe UI"/>
        <family val="2"/>
      </rPr>
      <t> : Liste des employés avec</t>
    </r>
  </si>
  <si>
    <t>- Rôle (vendeur, manager, admin)</t>
  </si>
  <si>
    <t>- Dernière connexion</t>
  </si>
  <si>
    <r>
      <t>3- </t>
    </r>
    <r>
      <rPr>
        <sz val="11"/>
        <color theme="1"/>
        <rFont val="Segoe UI"/>
        <family val="2"/>
      </rPr>
      <t>Section3</t>
    </r>
    <r>
      <rPr>
        <sz val="11"/>
        <color theme="1"/>
        <rFont val="Segoe UI"/>
        <family val="2"/>
      </rPr>
      <t> : Droits d'accès par employé</t>
    </r>
  </si>
  <si>
    <t>employeeList</t>
  </si>
  <si>
    <t>roles</t>
  </si>
  <si>
    <t>permissions</t>
  </si>
  <si>
    <t>activeStatus</t>
  </si>
  <si>
    <t>47-48</t>
  </si>
  <si>
    <t>Business_EmployeeAdd</t>
  </si>
  <si>
    <t>Ajout/modification d'un employé</t>
  </si>
  <si>
    <r>
      <t>1- </t>
    </r>
    <r>
      <rPr>
        <sz val="11"/>
        <color theme="1"/>
        <rFont val="Segoe UI"/>
        <family val="2"/>
      </rPr>
      <t>Section1</t>
    </r>
    <r>
      <rPr>
        <sz val="11"/>
        <color theme="1"/>
        <rFont val="Segoe UI"/>
        <family val="2"/>
      </rPr>
      <t> : Header avec titre "Nouvel employé"</t>
    </r>
  </si>
  <si>
    <r>
      <t>2- </t>
    </r>
    <r>
      <rPr>
        <sz val="11"/>
        <color theme="1"/>
        <rFont val="Segoe UI"/>
        <family val="2"/>
      </rPr>
      <t>Section2</t>
    </r>
    <r>
      <rPr>
        <sz val="11"/>
        <color theme="1"/>
        <rFont val="Segoe UI"/>
        <family val="2"/>
      </rPr>
      <t> : Formulaire</t>
    </r>
  </si>
  <si>
    <t>- Rôle</t>
  </si>
  <si>
    <t>- Identifiants de connexion</t>
  </si>
  <si>
    <r>
      <t>3- </t>
    </r>
    <r>
      <rPr>
        <sz val="11"/>
        <color theme="1"/>
        <rFont val="Segoe UI"/>
        <family val="2"/>
      </rPr>
      <t>Section3</t>
    </r>
    <r>
      <rPr>
        <sz val="11"/>
        <color theme="1"/>
        <rFont val="Segoe UI"/>
        <family val="2"/>
      </rPr>
      <t> : Attribution des permissions spécifiques</t>
    </r>
  </si>
  <si>
    <r>
      <t>4- </t>
    </r>
    <r>
      <rPr>
        <sz val="11"/>
        <color theme="1"/>
        <rFont val="Segoe UI"/>
        <family val="2"/>
      </rPr>
      <t>Section4</t>
    </r>
    <r>
      <rPr>
        <sz val="11"/>
        <color theme="1"/>
        <rFont val="Segoe UI"/>
        <family val="2"/>
      </rPr>
      <t> : Boutons "Enregistrer" et "Annuler"</t>
    </r>
  </si>
  <si>
    <t>employeeName</t>
  </si>
  <si>
    <t>contact</t>
  </si>
  <si>
    <t>role</t>
  </si>
  <si>
    <t>loginCredentials</t>
  </si>
  <si>
    <t>49-50</t>
  </si>
  <si>
    <t>Business_Reports</t>
  </si>
  <si>
    <t>Rapports et analyses</t>
  </si>
  <si>
    <r>
      <t>1- </t>
    </r>
    <r>
      <rPr>
        <sz val="11"/>
        <color theme="1"/>
        <rFont val="Segoe UI"/>
        <family val="2"/>
      </rPr>
      <t>Section1</t>
    </r>
    <r>
      <rPr>
        <sz val="11"/>
        <color theme="1"/>
        <rFont val="Segoe UI"/>
        <family val="2"/>
      </rPr>
      <t> : Header avec titre "Rapports"</t>
    </r>
  </si>
  <si>
    <r>
      <t>2- </t>
    </r>
    <r>
      <rPr>
        <sz val="11"/>
        <color theme="1"/>
        <rFont val="Segoe UI"/>
        <family val="2"/>
      </rPr>
      <t>Section2</t>
    </r>
    <r>
      <rPr>
        <sz val="11"/>
        <color theme="1"/>
        <rFont val="Segoe UI"/>
        <family val="2"/>
      </rPr>
      <t> : Sélecteur de période (personnalisée, aujourd'hui, semaine, mois, année)</t>
    </r>
  </si>
  <si>
    <r>
      <t>3- </t>
    </r>
    <r>
      <rPr>
        <sz val="11"/>
        <color theme="1"/>
        <rFont val="Segoe UI"/>
        <family val="2"/>
      </rPr>
      <t>Section3</t>
    </r>
    <r>
      <rPr>
        <sz val="11"/>
        <color theme="1"/>
        <rFont val="Segoe UI"/>
        <family val="2"/>
      </rPr>
      <t> : Graphiques et indicateurs</t>
    </r>
  </si>
  <si>
    <t>- Évolution du CA</t>
  </si>
  <si>
    <t>- Produits les plus vendus</t>
  </si>
  <si>
    <t>- Heures d'affluence</t>
  </si>
  <si>
    <r>
      <t>4- </t>
    </r>
    <r>
      <rPr>
        <sz val="11"/>
        <color theme="1"/>
        <rFont val="Segoe UI"/>
        <family val="2"/>
      </rPr>
      <t>Section4</t>
    </r>
    <r>
      <rPr>
        <sz val="11"/>
        <color theme="1"/>
        <rFont val="Segoe UI"/>
        <family val="2"/>
      </rPr>
      <t> : Options d'export (PDF, Excel)</t>
    </r>
  </si>
  <si>
    <t>reportType</t>
  </si>
  <si>
    <t>metrics</t>
  </si>
  <si>
    <t>exportFormat</t>
  </si>
  <si>
    <t>51-52</t>
  </si>
  <si>
    <t>Business_Expenses</t>
  </si>
  <si>
    <t>Gestion des dépenses</t>
  </si>
  <si>
    <r>
      <t>1- </t>
    </r>
    <r>
      <rPr>
        <sz val="11"/>
        <color theme="1"/>
        <rFont val="Segoe UI"/>
        <family val="2"/>
      </rPr>
      <t>Section1</t>
    </r>
    <r>
      <rPr>
        <sz val="11"/>
        <color theme="1"/>
        <rFont val="Segoe UI"/>
        <family val="2"/>
      </rPr>
      <t> : Header avec titre "Dépenses" et bouton "Ajouter"</t>
    </r>
  </si>
  <si>
    <r>
      <t>2- </t>
    </r>
    <r>
      <rPr>
        <sz val="11"/>
        <color theme="1"/>
        <rFont val="Segoe UI"/>
        <family val="2"/>
      </rPr>
      <t>Section2</t>
    </r>
    <r>
      <rPr>
        <sz val="11"/>
        <color theme="1"/>
        <rFont val="Segoe UI"/>
        <family val="2"/>
      </rPr>
      <t> : Résumé des dépenses par catégorie</t>
    </r>
  </si>
  <si>
    <r>
      <t>3- </t>
    </r>
    <r>
      <rPr>
        <sz val="11"/>
        <color theme="1"/>
        <rFont val="Segoe UI"/>
        <family val="2"/>
      </rPr>
      <t>Section3</t>
    </r>
    <r>
      <rPr>
        <sz val="11"/>
        <color theme="1"/>
        <rFont val="Segoe UI"/>
        <family val="2"/>
      </rPr>
      <t> : Liste des dépenses avec</t>
    </r>
  </si>
  <si>
    <t>- Date</t>
  </si>
  <si>
    <t>- Catégorie</t>
  </si>
  <si>
    <r>
      <t>4- </t>
    </r>
    <r>
      <rPr>
        <sz val="11"/>
        <color theme="1"/>
        <rFont val="Segoe UI"/>
        <family val="2"/>
      </rPr>
      <t>Section4</t>
    </r>
    <r>
      <rPr>
        <sz val="11"/>
        <color theme="1"/>
        <rFont val="Segoe UI"/>
        <family val="2"/>
      </rPr>
      <t> : Filtres par catégorie et période</t>
    </r>
  </si>
  <si>
    <t>expenseList</t>
  </si>
  <si>
    <t>totalExpenses</t>
  </si>
  <si>
    <t>53-54</t>
  </si>
  <si>
    <t>Business_ExpenseAdd</t>
  </si>
  <si>
    <t>Ajout d'une dépense</t>
  </si>
  <si>
    <r>
      <t>1- </t>
    </r>
    <r>
      <rPr>
        <sz val="11"/>
        <color theme="1"/>
        <rFont val="Segoe UI"/>
        <family val="2"/>
      </rPr>
      <t>Section1</t>
    </r>
    <r>
      <rPr>
        <sz val="11"/>
        <color theme="1"/>
        <rFont val="Segoe UI"/>
        <family val="2"/>
      </rPr>
      <t> : Header avec titre "Nouvelle dépense"</t>
    </r>
  </si>
  <si>
    <t>- Justificatif (optionnel)</t>
  </si>
  <si>
    <t>expenseCategory</t>
  </si>
  <si>
    <t>date</t>
  </si>
  <si>
    <t>receipt</t>
  </si>
  <si>
    <t>55-56</t>
  </si>
  <si>
    <t>Business_Settings</t>
  </si>
  <si>
    <t>Paramètres de l'entreprise</t>
  </si>
  <si>
    <r>
      <t>1- </t>
    </r>
    <r>
      <rPr>
        <sz val="11"/>
        <color theme="1"/>
        <rFont val="Segoe UI"/>
        <family val="2"/>
      </rPr>
      <t>Section1</t>
    </r>
    <r>
      <rPr>
        <sz val="11"/>
        <color theme="1"/>
        <rFont val="Segoe UI"/>
        <family val="2"/>
      </rPr>
      <t> : Header avec titre "Paramètres"</t>
    </r>
  </si>
  <si>
    <r>
      <t>2- </t>
    </r>
    <r>
      <rPr>
        <sz val="11"/>
        <color theme="1"/>
        <rFont val="Segoe UI"/>
        <family val="2"/>
      </rPr>
      <t>Section2</t>
    </r>
    <r>
      <rPr>
        <sz val="11"/>
        <color theme="1"/>
        <rFont val="Segoe UI"/>
        <family val="2"/>
      </rPr>
      <t> : Informations entreprise</t>
    </r>
  </si>
  <si>
    <t>- N° de registre de commerce</t>
  </si>
  <si>
    <t>- N° fiscal</t>
  </si>
  <si>
    <r>
      <t>3- </t>
    </r>
    <r>
      <rPr>
        <sz val="11"/>
        <color theme="1"/>
        <rFont val="Segoe UI"/>
        <family val="2"/>
      </rPr>
      <t>Section3</t>
    </r>
    <r>
      <rPr>
        <sz val="11"/>
        <color theme="1"/>
        <rFont val="Segoe UI"/>
        <family val="2"/>
      </rPr>
      <t> : Configuration des taxes</t>
    </r>
  </si>
  <si>
    <r>
      <t>4- </t>
    </r>
    <r>
      <rPr>
        <sz val="11"/>
        <color theme="1"/>
        <rFont val="Segoe UI"/>
        <family val="2"/>
      </rPr>
      <t>Section4</t>
    </r>
    <r>
      <rPr>
        <sz val="11"/>
        <color theme="1"/>
        <rFont val="Segoe UI"/>
        <family val="2"/>
      </rPr>
      <t> : Modes de paiement acceptés</t>
    </r>
  </si>
  <si>
    <r>
      <t>5- </t>
    </r>
    <r>
      <rPr>
        <sz val="11"/>
        <color theme="1"/>
        <rFont val="Segoe UI"/>
        <family val="2"/>
      </rPr>
      <t>Section5</t>
    </r>
    <r>
      <rPr>
        <sz val="11"/>
        <color theme="1"/>
        <rFont val="Segoe UI"/>
        <family val="2"/>
      </rPr>
      <t> : Préférences de notifications</t>
    </r>
  </si>
  <si>
    <t>businessInfo</t>
  </si>
  <si>
    <t>taxSettings</t>
  </si>
  <si>
    <t>notificationPrefs</t>
  </si>
  <si>
    <t>57-58</t>
  </si>
  <si>
    <t>Business_Notifications</t>
  </si>
  <si>
    <t>Centre de notifications</t>
  </si>
  <si>
    <r>
      <t>1- </t>
    </r>
    <r>
      <rPr>
        <sz val="11"/>
        <color theme="1"/>
        <rFont val="Segoe UI"/>
        <family val="2"/>
      </rPr>
      <t>Section1</t>
    </r>
    <r>
      <rPr>
        <sz val="11"/>
        <color theme="1"/>
        <rFont val="Segoe UI"/>
        <family val="2"/>
      </rPr>
      <t> : Header avec titre "Notifications"</t>
    </r>
  </si>
  <si>
    <r>
      <t>2- </t>
    </r>
    <r>
      <rPr>
        <sz val="11"/>
        <color theme="1"/>
        <rFont val="Segoe UI"/>
        <family val="2"/>
      </rPr>
      <t>Section2</t>
    </r>
    <r>
      <rPr>
        <sz val="11"/>
        <color theme="1"/>
        <rFont val="Segoe UI"/>
        <family val="2"/>
      </rPr>
      <t> : Liste des notifications</t>
    </r>
  </si>
  <si>
    <t>- Alertes stock bas</t>
  </si>
  <si>
    <t>- Nouvelles ventes</t>
  </si>
  <si>
    <t>- Paiements reçus</t>
  </si>
  <si>
    <t>- Mises à jour système</t>
  </si>
  <si>
    <r>
      <t>3- </t>
    </r>
    <r>
      <rPr>
        <sz val="11"/>
        <color theme="1"/>
        <rFont val="Segoe UI"/>
        <family val="2"/>
      </rPr>
      <t>Section3</t>
    </r>
    <r>
      <rPr>
        <sz val="11"/>
        <color theme="1"/>
        <rFont val="Segoe UI"/>
        <family val="2"/>
      </rPr>
      <t> : Options "Marquer tout comme lu", "Paramètres"</t>
    </r>
  </si>
  <si>
    <t>notifications</t>
  </si>
  <si>
    <t>unreadCount</t>
  </si>
  <si>
    <t>alertTypes</t>
  </si>
  <si>
    <t>59-60</t>
  </si>
  <si>
    <t>Business_Support</t>
  </si>
  <si>
    <t>Support et aide</t>
  </si>
  <si>
    <r>
      <t>1- </t>
    </r>
    <r>
      <rPr>
        <sz val="11"/>
        <color theme="1"/>
        <rFont val="Segoe UI"/>
        <family val="2"/>
      </rPr>
      <t>Section1</t>
    </r>
    <r>
      <rPr>
        <sz val="11"/>
        <color theme="1"/>
        <rFont val="Segoe UI"/>
        <family val="2"/>
      </rPr>
      <t> : Header avec titre "Aide et support"</t>
    </r>
  </si>
  <si>
    <r>
      <t>2- </t>
    </r>
    <r>
      <rPr>
        <sz val="11"/>
        <color theme="1"/>
        <rFont val="Segoe UI"/>
        <family val="2"/>
      </rPr>
      <t>Section2</t>
    </r>
    <r>
      <rPr>
        <sz val="11"/>
        <color theme="1"/>
        <rFont val="Segoe UI"/>
        <family val="2"/>
      </rPr>
      <t> : FAQ par catégorie</t>
    </r>
  </si>
  <si>
    <r>
      <t>3- </t>
    </r>
    <r>
      <rPr>
        <sz val="11"/>
        <color theme="1"/>
        <rFont val="Segoe UI"/>
        <family val="2"/>
      </rPr>
      <t>Section3</t>
    </r>
    <r>
      <rPr>
        <sz val="11"/>
        <color theme="1"/>
        <rFont val="Segoe UI"/>
        <family val="2"/>
      </rPr>
      <t> : Formulaire de contact support</t>
    </r>
  </si>
  <si>
    <r>
      <t>4- </t>
    </r>
    <r>
      <rPr>
        <sz val="11"/>
        <color theme="1"/>
        <rFont val="Segoe UI"/>
        <family val="2"/>
      </rPr>
      <t>Section4</t>
    </r>
    <r>
      <rPr>
        <sz val="11"/>
        <color theme="1"/>
        <rFont val="Segoe UI"/>
        <family val="2"/>
      </rPr>
      <t> : Chat en direct (si disponible)</t>
    </r>
  </si>
  <si>
    <r>
      <t>5- </t>
    </r>
    <r>
      <rPr>
        <sz val="11"/>
        <color theme="1"/>
        <rFont val="Segoe UI"/>
        <family val="2"/>
      </rPr>
      <t>Section5</t>
    </r>
    <r>
      <rPr>
        <sz val="11"/>
        <color theme="1"/>
        <rFont val="Segoe UI"/>
        <family val="2"/>
      </rPr>
      <t> : Tutoriels et documentation</t>
    </r>
  </si>
  <si>
    <t>supportTopics</t>
  </si>
  <si>
    <t>contactForm</t>
  </si>
  <si>
    <t>chatAvailable</t>
  </si>
  <si>
    <t>61-62</t>
  </si>
  <si>
    <t>Business_Profile</t>
  </si>
  <si>
    <t>Profil de l'utilisateur business</t>
  </si>
  <si>
    <r>
      <t>1- </t>
    </r>
    <r>
      <rPr>
        <sz val="11"/>
        <color theme="1"/>
        <rFont val="Segoe UI"/>
        <family val="2"/>
      </rPr>
      <t>Section1</t>
    </r>
    <r>
      <rPr>
        <sz val="11"/>
        <color theme="1"/>
        <rFont val="Segoe UI"/>
        <family val="2"/>
      </rPr>
      <t> : Header avec titre "Mon profil"</t>
    </r>
  </si>
  <si>
    <r>
      <t>2- </t>
    </r>
    <r>
      <rPr>
        <sz val="11"/>
        <color theme="1"/>
        <rFont val="Segoe UI"/>
        <family val="2"/>
      </rPr>
      <t>Section2</t>
    </r>
    <r>
      <rPr>
        <sz val="11"/>
        <color theme="1"/>
        <rFont val="Segoe UI"/>
        <family val="2"/>
      </rPr>
      <t> : Photo de profil et informations</t>
    </r>
  </si>
  <si>
    <t>- Rôle dans l'entreprise</t>
  </si>
  <si>
    <r>
      <t>3- </t>
    </r>
    <r>
      <rPr>
        <sz val="11"/>
        <color theme="1"/>
        <rFont val="Segoe UI"/>
        <family val="2"/>
      </rPr>
      <t>Section3</t>
    </r>
    <r>
      <rPr>
        <sz val="11"/>
        <color theme="1"/>
        <rFont val="Segoe UI"/>
        <family val="2"/>
      </rPr>
      <t> : Options de modification</t>
    </r>
  </si>
  <si>
    <r>
      <t>4- </t>
    </r>
    <r>
      <rPr>
        <sz val="11"/>
        <color theme="1"/>
        <rFont val="Segoe UI"/>
        <family val="2"/>
      </rPr>
      <t>Section4</t>
    </r>
    <r>
      <rPr>
        <sz val="11"/>
        <color theme="1"/>
        <rFont val="Segoe UI"/>
        <family val="2"/>
      </rPr>
      <t> : Historique des connexions</t>
    </r>
  </si>
  <si>
    <r>
      <t>5- </t>
    </r>
    <r>
      <rPr>
        <sz val="11"/>
        <color theme="1"/>
        <rFont val="Segoe UI"/>
        <family val="2"/>
      </rPr>
      <t>Section5</t>
    </r>
    <r>
      <rPr>
        <sz val="11"/>
        <color theme="1"/>
        <rFont val="Segoe UI"/>
        <family val="2"/>
      </rPr>
      <t> : Bouton "Déconnexion"</t>
    </r>
  </si>
  <si>
    <t>userProfile</t>
  </si>
  <si>
    <t>loginHistory</t>
  </si>
  <si>
    <t>63-64</t>
  </si>
  <si>
    <t>Business_Statistics</t>
  </si>
  <si>
    <t>Statistiques avancées</t>
  </si>
  <si>
    <r>
      <t>1- </t>
    </r>
    <r>
      <rPr>
        <sz val="11"/>
        <color theme="1"/>
        <rFont val="Segoe UI"/>
        <family val="2"/>
      </rPr>
      <t>Section1</t>
    </r>
    <r>
      <rPr>
        <sz val="11"/>
        <color theme="1"/>
        <rFont val="Segoe UI"/>
        <family val="2"/>
      </rPr>
      <t> : Header avec titre "Statistiques avancées"</t>
    </r>
  </si>
  <si>
    <r>
      <t>2- </t>
    </r>
    <r>
      <rPr>
        <sz val="11"/>
        <color theme="1"/>
        <rFont val="Segoe UI"/>
        <family val="2"/>
      </rPr>
      <t>Section2</t>
    </r>
    <r>
      <rPr>
        <sz val="11"/>
        <color theme="1"/>
        <rFont val="Segoe UI"/>
        <family val="2"/>
      </rPr>
      <t> : Sélecteurs multiples (période, type de données)</t>
    </r>
  </si>
  <si>
    <r>
      <t>3- </t>
    </r>
    <r>
      <rPr>
        <sz val="11"/>
        <color theme="1"/>
        <rFont val="Segoe UI"/>
        <family val="2"/>
      </rPr>
      <t>Section3</t>
    </r>
    <r>
      <rPr>
        <sz val="11"/>
        <color theme="1"/>
        <rFont val="Segoe UI"/>
        <family val="2"/>
      </rPr>
      <t> : Graphiques comparatifs (année précédente vs actuelle)</t>
    </r>
  </si>
  <si>
    <r>
      <t>4- </t>
    </r>
    <r>
      <rPr>
        <sz val="11"/>
        <color theme="1"/>
        <rFont val="Segoe UI"/>
        <family val="2"/>
      </rPr>
      <t>Section4</t>
    </r>
    <r>
      <rPr>
        <sz val="11"/>
        <color theme="1"/>
        <rFont val="Segoe UI"/>
        <family val="2"/>
      </rPr>
      <t> : Tableaux de données détaillés</t>
    </r>
  </si>
  <si>
    <r>
      <t>5- </t>
    </r>
    <r>
      <rPr>
        <sz val="11"/>
        <color theme="1"/>
        <rFont val="Segoe UI"/>
        <family val="2"/>
      </rPr>
      <t>Section5</t>
    </r>
    <r>
      <rPr>
        <sz val="11"/>
        <color theme="1"/>
        <rFont val="Segoe UI"/>
        <family val="2"/>
      </rPr>
      <t> : Prévisions et tendances</t>
    </r>
  </si>
  <si>
    <t>statisticsType</t>
  </si>
  <si>
    <t>comparisonData</t>
  </si>
  <si>
    <t>forecasts</t>
  </si>
  <si>
    <t>trends</t>
  </si>
  <si>
    <t>65-66</t>
  </si>
  <si>
    <t>Business_QRCodes</t>
  </si>
  <si>
    <t>Génération de QR codes pour paiements</t>
  </si>
  <si>
    <r>
      <t>1- </t>
    </r>
    <r>
      <rPr>
        <sz val="11"/>
        <color theme="1"/>
        <rFont val="Segoe UI"/>
        <family val="2"/>
      </rPr>
      <t>Section1</t>
    </r>
    <r>
      <rPr>
        <sz val="11"/>
        <color theme="1"/>
        <rFont val="Segoe UI"/>
        <family val="2"/>
      </rPr>
      <t> : Header avec titre "QR Codes"</t>
    </r>
  </si>
  <si>
    <r>
      <t>2- </t>
    </r>
    <r>
      <rPr>
        <sz val="11"/>
        <color theme="1"/>
        <rFont val="Segoe UI"/>
        <family val="2"/>
      </rPr>
      <t>Section2</t>
    </r>
    <r>
      <rPr>
        <sz val="11"/>
        <color theme="1"/>
        <rFont val="Segoe UI"/>
        <family val="2"/>
      </rPr>
      <t> : QR code de l'entreprise pour recevoir des paiements</t>
    </r>
  </si>
  <si>
    <r>
      <t>3- </t>
    </r>
    <r>
      <rPr>
        <sz val="11"/>
        <color theme="1"/>
        <rFont val="Segoe UI"/>
        <family val="2"/>
      </rPr>
      <t>Section3</t>
    </r>
    <r>
      <rPr>
        <sz val="11"/>
        <color theme="1"/>
        <rFont val="Segoe UI"/>
        <family val="2"/>
      </rPr>
      <t> : QR codes par produit (option)</t>
    </r>
  </si>
  <si>
    <r>
      <t>4- </t>
    </r>
    <r>
      <rPr>
        <sz val="11"/>
        <color theme="1"/>
        <rFont val="Segoe UI"/>
        <family val="2"/>
      </rPr>
      <t>Section4</t>
    </r>
    <r>
      <rPr>
        <sz val="11"/>
        <color theme="1"/>
        <rFont val="Segoe UI"/>
        <family val="2"/>
      </rPr>
      <t> : Options de téléchargement et impression</t>
    </r>
  </si>
  <si>
    <r>
      <t>5- </t>
    </r>
    <r>
      <rPr>
        <sz val="11"/>
        <color theme="1"/>
        <rFont val="Segoe UI"/>
        <family val="2"/>
      </rPr>
      <t>Section5</t>
    </r>
    <r>
      <rPr>
        <sz val="11"/>
        <color theme="1"/>
        <rFont val="Segoe UI"/>
        <family val="2"/>
      </rPr>
      <t> : Statistiques d'utilisation des QR codes</t>
    </r>
  </si>
  <si>
    <t>businessQR</t>
  </si>
  <si>
    <t>productQRs</t>
  </si>
  <si>
    <t>scanStats</t>
  </si>
  <si>
    <t>67-68</t>
  </si>
  <si>
    <t>Business_Loyalty</t>
  </si>
  <si>
    <t>Programme de fidélité</t>
  </si>
  <si>
    <r>
      <t>1- </t>
    </r>
    <r>
      <rPr>
        <sz val="11"/>
        <color theme="1"/>
        <rFont val="Segoe UI"/>
        <family val="2"/>
      </rPr>
      <t>Section1</t>
    </r>
    <r>
      <rPr>
        <sz val="11"/>
        <color theme="1"/>
        <rFont val="Segoe UI"/>
        <family val="2"/>
      </rPr>
      <t> : Header avec titre "Fidélité"</t>
    </r>
  </si>
  <si>
    <r>
      <t>2- </t>
    </r>
    <r>
      <rPr>
        <sz val="11"/>
        <color theme="1"/>
        <rFont val="Segoe UI"/>
        <family val="2"/>
      </rPr>
      <t>Section2</t>
    </r>
    <r>
      <rPr>
        <sz val="11"/>
        <color theme="1"/>
        <rFont val="Segoe UI"/>
        <family val="2"/>
      </rPr>
      <t> : Configuration du programme</t>
    </r>
  </si>
  <si>
    <t>- Points par achat</t>
  </si>
  <si>
    <t>- Seuils de récompense</t>
  </si>
  <si>
    <t>- Récompenses disponibles</t>
  </si>
  <si>
    <r>
      <t>3- </t>
    </r>
    <r>
      <rPr>
        <sz val="11"/>
        <color theme="1"/>
        <rFont val="Segoe UI"/>
        <family val="2"/>
      </rPr>
      <t>Section3</t>
    </r>
    <r>
      <rPr>
        <sz val="11"/>
        <color theme="1"/>
        <rFont val="Segoe UI"/>
        <family val="2"/>
      </rPr>
      <t> : Clients fidèles (top)</t>
    </r>
  </si>
  <si>
    <r>
      <t>4- </t>
    </r>
    <r>
      <rPr>
        <sz val="11"/>
        <color theme="1"/>
        <rFont val="Segoe UI"/>
        <family val="2"/>
      </rPr>
      <t>Section4</t>
    </r>
    <r>
      <rPr>
        <sz val="11"/>
        <color theme="1"/>
        <rFont val="Segoe UI"/>
        <family val="2"/>
      </rPr>
      <t> : Points cumulés par client</t>
    </r>
  </si>
  <si>
    <r>
      <t>5- </t>
    </r>
    <r>
      <rPr>
        <sz val="11"/>
        <color theme="1"/>
        <rFont val="Segoe UI"/>
        <family val="2"/>
      </rPr>
      <t>Section5</t>
    </r>
    <r>
      <rPr>
        <sz val="11"/>
        <color theme="1"/>
        <rFont val="Segoe UI"/>
        <family val="2"/>
      </rPr>
      <t> : Historique des récompenses attribuées</t>
    </r>
  </si>
  <si>
    <t>loyaltyConfig</t>
  </si>
  <si>
    <t>pointsPerPurchase</t>
  </si>
  <si>
    <t>rewards</t>
  </si>
  <si>
    <t>customerPoints</t>
  </si>
  <si>
    <t>Agent_Dashboard</t>
  </si>
  <si>
    <t>Tableau de bord de l'agent</t>
  </si>
  <si>
    <r>
      <t>1- </t>
    </r>
    <r>
      <rPr>
        <sz val="11"/>
        <color theme="1"/>
        <rFont val="Segoe UI"/>
        <family val="2"/>
      </rPr>
      <t>Section1</t>
    </r>
    <r>
      <rPr>
        <sz val="11"/>
        <color theme="1"/>
        <rFont val="Segoe UI"/>
        <family val="2"/>
      </rPr>
      <t> : Header avec identification de l'agent et solde de la caisse</t>
    </r>
  </si>
  <si>
    <r>
      <t>2- </t>
    </r>
    <r>
      <rPr>
        <sz val="11"/>
        <color theme="1"/>
        <rFont val="Segoe UI"/>
        <family val="2"/>
      </rPr>
      <t>Section2</t>
    </r>
    <r>
      <rPr>
        <sz val="11"/>
        <color theme="1"/>
        <rFont val="Segoe UI"/>
        <family val="2"/>
      </rPr>
      <t> : Actions rapides principales</t>
    </r>
  </si>
  <si>
    <r>
      <t>- </t>
    </r>
    <r>
      <rPr>
        <sz val="11"/>
        <color theme="1"/>
        <rFont val="Segoe UI"/>
        <family val="2"/>
      </rPr>
      <t>Dépôt d'argent</t>
    </r>
  </si>
  <si>
    <r>
      <t>- </t>
    </r>
    <r>
      <rPr>
        <sz val="11"/>
        <color theme="1"/>
        <rFont val="Segoe UI"/>
        <family val="2"/>
      </rPr>
      <t>Retrait d'argent</t>
    </r>
  </si>
  <si>
    <r>
      <t>- </t>
    </r>
    <r>
      <rPr>
        <sz val="11"/>
        <color theme="1"/>
        <rFont val="Segoe UI"/>
        <family val="2"/>
      </rPr>
      <t>Transfert</t>
    </r>
  </si>
  <si>
    <r>
      <t>- </t>
    </r>
    <r>
      <rPr>
        <sz val="11"/>
        <color theme="1"/>
        <rFont val="Segoe UI"/>
        <family val="2"/>
      </rPr>
      <t>Paiement de factures</t>
    </r>
  </si>
  <si>
    <r>
      <t>3- </t>
    </r>
    <r>
      <rPr>
        <sz val="11"/>
        <color theme="1"/>
        <rFont val="Segoe UI"/>
        <family val="2"/>
      </rPr>
      <t>Section3</t>
    </r>
    <r>
      <rPr>
        <sz val="11"/>
        <color theme="1"/>
        <rFont val="Segoe UI"/>
        <family val="2"/>
      </rPr>
      <t> : Transactions du jour (montant total, commissions)</t>
    </r>
  </si>
  <si>
    <r>
      <t>4- </t>
    </r>
    <r>
      <rPr>
        <sz val="11"/>
        <color theme="1"/>
        <rFont val="Segoe UI"/>
        <family val="2"/>
      </rPr>
      <t>Section4</t>
    </r>
    <r>
      <rPr>
        <sz val="11"/>
        <color theme="1"/>
        <rFont val="Segoe UI"/>
        <family val="2"/>
      </rPr>
      <t> : Liste des dernières transactions effectuées</t>
    </r>
  </si>
  <si>
    <r>
      <t>5- </t>
    </r>
    <r>
      <rPr>
        <sz val="11"/>
        <color theme="1"/>
        <rFont val="Segoe UI"/>
        <family val="2"/>
      </rPr>
      <t>Section5</t>
    </r>
    <r>
      <rPr>
        <sz val="11"/>
        <color theme="1"/>
        <rFont val="Segoe UI"/>
        <family val="2"/>
      </rPr>
      <t> : État de la caisse (solde, seuils)</t>
    </r>
  </si>
  <si>
    <r>
      <t>6- </t>
    </r>
    <r>
      <rPr>
        <sz val="11"/>
        <color theme="1"/>
        <rFont val="Segoe UI"/>
        <family val="2"/>
      </rPr>
      <t>Section6</t>
    </r>
    <r>
      <rPr>
        <sz val="11"/>
        <color theme="1"/>
        <rFont val="Segoe UI"/>
        <family val="2"/>
      </rPr>
      <t> : Notifications (alertes de seuil, demandes en attente)</t>
    </r>
  </si>
  <si>
    <t>agentId</t>
  </si>
  <si>
    <t>cashBalance</t>
  </si>
  <si>
    <t>dailyTransactions</t>
  </si>
  <si>
    <t>commissionEarned</t>
  </si>
  <si>
    <t>lowBalanceAlert</t>
  </si>
  <si>
    <t>Interface adaptée pour les opérations de guichet</t>
  </si>
  <si>
    <t>les fenetres UI_Name = Authentication_PIN (Screenshot_2026-02-11-19-40-54-891.jpg) et UI_Name = Authentication_PIN_with_Fingerprint_opt (Screenshot_2026-02-11-19-40-54-892.jpg) sont similaires à l'exception du bouton de suppression dans Authentication_PIN qui est remplacé par un bouton de scan d'empreinte digitale ou bouton de scan faciale pour les telephones qui ont les capacités suivantes : empreinte digitale ; reconnaissance faciale</t>
  </si>
  <si>
    <t>MainWindow_with_balance_visiblility_on (Screenshot_2026-02-11-19-49-54-891.jpg) suite de la Section5 ( historique des transactions ) lorsque l'utilisateur scroll vers le bas avec</t>
  </si>
  <si>
    <t>MainWindow_with_balance_visiblility_off (Screenshot_2026-02-11-19-50-25-695.jpg) suite de la Section5 ( historique des transactions ) lorsque l'utilisateur scroll vers le bas avec</t>
  </si>
  <si>
    <t>Business_Dashboard_v1</t>
  </si>
  <si>
    <t>Première version du dashboard</t>
  </si>
  <si>
    <t>Business_Dashboard_v2</t>
  </si>
  <si>
    <t>Deuxième vue du même dashboard avec métriques différentes</t>
  </si>
  <si>
    <t>Business_ProductsManagement_v1</t>
  </si>
  <si>
    <t>Première vue de la gestion produits</t>
  </si>
  <si>
    <t>Business_ProductsManagement_v2</t>
  </si>
  <si>
    <t>Deuxième vue avec focus sur les alertes stock</t>
  </si>
  <si>
    <t>Business_ProductAdd_v1</t>
  </si>
  <si>
    <t>Première version du formulaire</t>
  </si>
  <si>
    <t>Business_ProductAdd_v2</t>
  </si>
  <si>
    <t>Deuxième version avec options avancées</t>
  </si>
  <si>
    <t>Business_Inventory_v1</t>
  </si>
  <si>
    <t>Première vue inventaire</t>
  </si>
  <si>
    <t>Business_Inventory_v2</t>
  </si>
  <si>
    <t>Deuxième vue détaillée par produit</t>
  </si>
  <si>
    <t>Business_InventoryAdjust_v1</t>
  </si>
  <si>
    <t>Ajustement à la hausse</t>
  </si>
  <si>
    <t>Business_InventoryAdjust_v2</t>
  </si>
  <si>
    <t>Ajustement à la baisse</t>
  </si>
  <si>
    <t>Business_SalesPoint_v1</t>
  </si>
  <si>
    <t>Interface de caisse standard</t>
  </si>
  <si>
    <t>Business_SalesPoint_v2</t>
  </si>
  <si>
    <t>Écran de paiement</t>
  </si>
  <si>
    <t>Business_SalesHistory_v1</t>
  </si>
  <si>
    <t>Vue quotidienne</t>
  </si>
  <si>
    <t>Business_SalesHistory_v2</t>
  </si>
  <si>
    <t>Vue mensuelle avec analyses</t>
  </si>
  <si>
    <t>Business_SalesDetails_v1</t>
  </si>
  <si>
    <t>Informations générales</t>
  </si>
  <si>
    <t>Business_SalesDetails_v2</t>
  </si>
  <si>
    <t>Actions post-vente</t>
  </si>
  <si>
    <t>Business_Customers_v1</t>
  </si>
  <si>
    <t>Vue liste</t>
  </si>
  <si>
    <t>Business_Customers_v2</t>
  </si>
  <si>
    <t>Vue fidélité</t>
  </si>
  <si>
    <t>Business_CustomerDetails_v1</t>
  </si>
  <si>
    <t>Informations de base</t>
  </si>
  <si>
    <t>Business_CustomerDetails_v2</t>
  </si>
  <si>
    <t>Historique et analyses</t>
  </si>
  <si>
    <t>Business_Employees_v1</t>
  </si>
  <si>
    <t>Business_Employees_v2</t>
  </si>
  <si>
    <t>Gestion des droits</t>
  </si>
  <si>
    <t>Business_EmployeeAdd_v1</t>
  </si>
  <si>
    <t>Business_EmployeeAdd_v2</t>
  </si>
  <si>
    <t>Configuration des droits</t>
  </si>
  <si>
    <t>Business_Reports_v1</t>
  </si>
  <si>
    <t>Choix du rapport</t>
  </si>
  <si>
    <t>Business_Reports_v2</t>
  </si>
  <si>
    <t>Affichage des données</t>
  </si>
  <si>
    <t>Business_Expenses_v1</t>
  </si>
  <si>
    <t>Business_Expenses_v2</t>
  </si>
  <si>
    <t>Analyses</t>
  </si>
  <si>
    <t>Business_ExpenseAdd_v1</t>
  </si>
  <si>
    <t>Saisie de base</t>
  </si>
  <si>
    <t>Business_ExpenseAdd_v2</t>
  </si>
  <si>
    <t>Justificatifs et validation</t>
  </si>
  <si>
    <t>Business_Settings_v1</t>
  </si>
  <si>
    <t>Infos société</t>
  </si>
  <si>
    <t>Business_Settings_v2</t>
  </si>
  <si>
    <t>Configuration</t>
  </si>
  <si>
    <t>Business_Notifications_v1</t>
  </si>
  <si>
    <t>Business_Notifications_v2</t>
  </si>
  <si>
    <t>Configuration des alertes</t>
  </si>
  <si>
    <t>Business_Support_v1</t>
  </si>
  <si>
    <t>Base de connaissances</t>
  </si>
  <si>
    <t>Business_Support_v2</t>
  </si>
  <si>
    <t>Contact support</t>
  </si>
  <si>
    <t>Business_Profile_v1</t>
  </si>
  <si>
    <t>Informations personnelles</t>
  </si>
  <si>
    <t>Business_Profile_v2</t>
  </si>
  <si>
    <t>Sécurité</t>
  </si>
  <si>
    <t>Business_Statistics_v1</t>
  </si>
  <si>
    <t>Vue d'ensemble</t>
  </si>
  <si>
    <t>Business_Statistics_v2</t>
  </si>
  <si>
    <t>Analyses avancées</t>
  </si>
  <si>
    <t>Business_QRCodes_v1</t>
  </si>
  <si>
    <t>Génération</t>
  </si>
  <si>
    <t>Business_QRCodes_v2</t>
  </si>
  <si>
    <t>Statistiques d'usage</t>
  </si>
  <si>
    <t>Business_Loyalty_v1</t>
  </si>
  <si>
    <t>Business_Loyalty_v2</t>
  </si>
  <si>
    <t>Suivi et analyses</t>
  </si>
  <si>
    <t>- Un padding de 2px est present entre le body de l'app et les bords du telephone
- Créer un système de gestion de la navigation de l'utilisateur à l'interieur de l'app de sorte que si l'utisateur appuie sur le bouton de retour de son telephone, cela le</t>
  </si>
  <si>
    <t>Fenêtre de saisie du bénéficiaire pour un transfert d'argent
1- Section1 : Header avec titre "Nouveau transfert" et bouton de retour
2- Section2 : Formulaire de saisie
   - Champ "Numéro du bénéficiaire" avec indicatif téléphonique pré-rempli
   - Icône de carnet d'adresses à droite du champ
3- Section3 : Bouton "Continuer" en bas de l'écran (grisé tant que le champ est vide)
4- Section4 : Message d'aide "Saisissez le numéro du destinataire"</t>
  </si>
  <si>
    <t>recipientPhone
countryCode</t>
  </si>
  <si>
    <t>Fenêtre de saisie du montant à transférer
1- Section1 : Header avec titre "Montant" et bouton de retour
2- Section2 : Récapitulatif du bénéficiaire
   - Nom du bénéficiaire et numéro (format +225 XX XX XX XX)
3- Section3 : Zone de saisie du montant
   - Champ de saisie avec le symbole de la monnaie (FCFA)
   - Clavier numérique à l'écran
4- Section4 : Bouton "Suivant" en bas (activé quand montant &gt; 0)
5- Section5 : Message d'information sur les frais éventuels</t>
  </si>
  <si>
    <t>transferAmount
recipientInfo
feesAmount</t>
  </si>
  <si>
    <t>Fenêtre de confirmation des détails du transfert
1- Section1 : Header avec titre "Confirmation" et bouton de retour
2- Section2 : Récapitulatif détaillé
   - Bénéficiaire : Nom et numéro complet
   - Montant : Montant saisi + symbole monnaie
   - Frais : Montant des frais
   - Total : Montant total débité
3- Section3 : Bouton "Confirmer" en bas
4- Section4 : Message "Vérifiez les informations avant de confirmer"</t>
  </si>
  <si>
    <t>transferAmount
fees
totalAmount
recipientDetails</t>
  </si>
  <si>
    <t>Fenêtre de confirmation de réussite du transfert
1- Section1 : Header avec titre "Succès" et bouton de retour
2- Section2 : Icône de succès (coche verte) au centre
3- Section3 : Message de confirmation
   - "Transfert effectué avec succès"
   - Montant transféré
   - Bénéficiaire
4- Section4 : Boutons d'action
   - "Nouveau transfert"
   - "Retour à l'accueil"
5- Section5 : Option de partage du reçu</t>
  </si>
  <si>
    <t>transactionId
transferAmount
recipientName
receiptURL</t>
  </si>
  <si>
    <t>Fenêtre de sélection de catégorie de factures
1- Section1 : Header avec titre "Factures" et bouton de retour
2- Section2 : Barre de recherche
3- Section3 : Liste des catégories de factures
   - Électricité avec icône
   - Eau avec icône
   - Téléphone/Internet avec icône
   - Scolarité avec icône
4- Section4 : Factures récentes ou enregistrées</t>
  </si>
  <si>
    <t>billCategories
selectedCategory
recentBills</t>
  </si>
  <si>
    <t>Fenêtre de sélection du fournisseur de service
1- Section1 : Header avec titre "Choisir le fournisseur" et bouton de retour
2- Section2 : Indication de la catégorie sélectionnée (ex: "Électricité")
3- Section3 : Liste des fournisseurs disponibles
   - CIE (Côte d'Ivoire)
   - SODECI (Côte d'Ivoire)
   - Autres fournisseurs selon le pays
4- Section4 : Champ de recherche rapide</t>
  </si>
  <si>
    <t>providerList
selectedProvider
categoryType</t>
  </si>
  <si>
    <t>Fenêtre de saisie du numéro de contrat/client pour la facture
1- Section1 : Header avec titre "Numéro de contrat" et bouton de retour
2- Section2 : Rappel du fournisseur sélectionné (ex: "CIE")
3- Section3 : Champ de saisie du numéro de contrat
   - Format attendu (ex: "12345678")
   - Clavier numérique
4- Section4 : Bouton "Vérifier" en bas
5- Section5 : Message d'aide "Trouvez ce numéro sur votre facture"</t>
  </si>
  <si>
    <t>contractNumber
providerName
billType</t>
  </si>
  <si>
    <t>Fenêtre affichant le montant de la facture à payer
1- Section1 : Header avec titre "Montant à payer" et bouton de retour
2- Section2 : Récapitulatif client/fournisseur
   - Fournisseur : CIE
   - Numéro contrat : 12345678
3- Section3 : Montant dû mis en évidence
   - Montant total en gros caractères
   - Date d'échéance
4- Section4 : Bouton "Payer" en bas
5- Section5 : Option "Payer partiellement" si disponible</t>
  </si>
  <si>
    <t>dueAmount
dueDate
contractNumber
partialPaymentAllowed</t>
  </si>
  <si>
    <t>Fenêtre de confirmation de paiement de facture
1- Section1 : Header avec titre "Confirmation" et bouton de retour
2- Section2 : Récapitulatif complet
   - Fournisseur
   - Numéro de contrat
   - Montant payé
   - Frais éventuels
3- Section3 : Bouton "Confirmer le paiement"
4- Section4 : Case à cocher "Enregistrer ce contrat pour plus tard"</t>
  </si>
  <si>
    <t>billAmount
fees
totalAmount
saveContract</t>
  </si>
  <si>
    <t>Fenêtre de confirmation de paiement de facture réussi
1- Section1 : Header avec titre "Paiement effectué" et bouton de retour
2- Section2 : Icône de succès (coche verte)
3- Section3 : Message de confirmation
   - "Facture payée avec succès"
   - Référence de transaction
   - Montant payé
4- Section4 : Boutons d'action
   - "Voir la facture"
   - "Payer une autre facture"
   - "Retour à l'accueil"
5- Section5 : Option de téléchargement du reçu</t>
  </si>
  <si>
    <t>transactionId
billReference
amount
receiptURL</t>
  </si>
  <si>
    <t>Fenêtre d'historique des factures payées
1- Section1 : Header avec titre "Historique des factures" et bouton de retour
2- Section2 : Filtres rapides
   - "Tous", "Électricité", "Eau", "Télécom"
3- Section3 : Liste chronologique des factures payées
   - Chaque ligne : Fournisseur, montant, date de paiement, statut "Payé"
4- Section4 : Option de recherche par période</t>
  </si>
  <si>
    <t>billHistory
filterType
dateRange</t>
  </si>
  <si>
    <t>Fenêtre des services d'abonnement disponibles
1- Section1 : Header avec titre "Abonnements" et bouton de retour
2- Section2 : Liste des abonnements disponibles par catégorie
   - Streaming : Netflix, Spotify, Canal+
   - Internet : Box, Pass data
   - Téléphonie : Forfaits GSM
3- Section3 : Abonnements actifs de l'utilisateur</t>
  </si>
  <si>
    <t>subscriptionList
activeSubscriptions
categoryFilter</t>
  </si>
  <si>
    <t>Fenêtre des détails d'un abonnement spécifique
1- Section1 : Header avec titre "Détails abonnement" et bouton de retour
2- Section2 : Logo et nom du service
3- Section3 : Offres disponibles
   - Forfait mensuel : prix
   - Forfait trimestriel : prix (avec économie)
   - Forfait annuel : prix (avec économie)
4- Section4 : Bouton "S'abonner" pour chaque offre</t>
  </si>
  <si>
    <t>serviceName
subscriptionPlans
prices
discountInfo</t>
  </si>
  <si>
    <t>Fenêtre de confirmation d'abonnement
1- Section1 : Header avec titre "Confirmation abonnement" et bouton de retour
2- Section2 : Récapitulatif
   - Service : Netflix
   - Forfait : Mensuel
   - Prix : 8 500 FCFA/mois
   - Prochain prélèvement : date
3- Section3 : Bouton "Confirmer l'abonnement"
4- Section4 : Case à cocher "Activer le renouvellement automatique"</t>
  </si>
  <si>
    <t>subscriptionType
price
nextBillingDate
autoRenewal</t>
  </si>
  <si>
    <t>Fenêtre de confirmation d'abonnement réussi
1- Section1 : Header avec titre "Abonnement activé" et bouton de retour
2- Section2 : Icône de succès
3- Section3 : Message de confirmation
   - "Votre abonnement a été activé"
   - Service et forfait
   - Date de début
4- Section4 : Boutons d'action
   - "Gérer mon abonnement"
   - "Autres services"
   - "Retour à l'accueil"</t>
  </si>
  <si>
    <t>serviceName
plan
startDate
subscriptionId</t>
  </si>
  <si>
    <t>Tableau de bord principal version Business - Vue d'ensemble avec graphiques
1- Section1 : Header avec sélecteur de compte "Business" et notifications
2- Section2 : Résumé financier (CA jour, CA mois, nb transactions)
3- Section3 : Graphiques d'activité - Vue mensuelle
4- Section4 : Transactions récentes (5 dernières)
5- Section5 : Accès rapide aux fonctions principales</t>
  </si>
  <si>
    <t>dailyRevenue
monthlyRevenue
transactionsCount
businessId</t>
  </si>
  <si>
    <t>Tableau de bord principal version Business - Vue alternative avec focus ventes
1- Section1 : Header avec alertes et profil
2- Section2 : KPI principaux (CA, panier moyen, taux de conversion)
3- Section3 : Graphiques de ventes par catégorie
4- Section4 : Produits les plus vendus
5- Section5 : Notifications et alertes</t>
  </si>
  <si>
    <t>dailyRevenue
avgBasket
conversionRate
topProducts</t>
  </si>
  <si>
    <t>Gestion des produits - Vue liste avec filtres
1- Section1 : Header avec titre "Produits" et bouton "Ajouter"
2- Section2 : Barre de recherche et filtres par catégorie
3- Section3 : Liste paginée des produits avec image, nom, prix, stock
4- Section4 : Actions rapides (modifier, dupliquer, archiver)</t>
  </si>
  <si>
    <t>productList
stockLevels
categories
searchQuery</t>
  </si>
  <si>
    <t>Gestion des produits - Vue avec alertes stock
1- Section1 : Alertes de stock bas mises en évidence
2- Section2 : Liste des produits avec indicateurs de performance
3- Section3 : Produits en rupture
4- Section4 : Boutons de réapprovisionnement rapide</t>
  </si>
  <si>
    <t>lowStockAlerts
outOfStockItems
reorderPoints</t>
  </si>
  <si>
    <t>Ajout produit - Formulaire principal
1- Section1 : Header "Nouveau produit"
2- Section2 : Informations de base (nom, description, catégorie)
3- Section3 : Prix et stock (prix d'achat, prix vente, stock initial)
4- Section4 : Boutons "Enregistrer" et "Annuler"</t>
  </si>
  <si>
    <t>productName
description
category
purchasePrice
sellingPrice</t>
  </si>
  <si>
    <t>Ajout produit - Section avancée
1- Section1 : Options avancées (code-barres, SKU)
2- Section2 : Images du produit (upload)
3- Section3 : Variantes (taille, couleur) si applicable
4- Section4 : Taxes et remises</t>
  </si>
  <si>
    <t>sku
barcode
images
variants
taxRate</t>
  </si>
  <si>
    <t>Gestion des stocks - Vue d'ensemble
1- Section1 : Header "Stock" avec indicateurs
2- Section2 : Alertes de stock bas (produits à réapprovisionner)
3- Section3 : Liste des stocks par emplacement
4- Section4 : Historique des mouvements récents</t>
  </si>
  <si>
    <t>inventoryList
lowStockAlerts
stockLocations</t>
  </si>
  <si>
    <t>Gestion des stocks - Vue par produit
1- Section1 : Recherche de produit
2- Section2 : Détail stock pour un produit spécifique
3- Section3 : Historique des entrées/sorties
4- Section4 : Seuils de réapprovisionnement</t>
  </si>
  <si>
    <t>productStock
stockHistory
reorderLevel</t>
  </si>
  <si>
    <t>Ajustement de stock - Ajustement positif
1- Section1 : Header "Ajuster le stock"
2- Section2 : Produit concerné et stock actuel
3- Section3 : Nouvelle quantité (augmentation)
4- Section4 : Motif (réapprovisionnement, retour fournisseur)
5- Section5 : Validation</t>
  </si>
  <si>
    <t>productId
currentStock
newStock
adjustmentReason</t>
  </si>
  <si>
    <t>Ajustement de stock - Ajustement négatif
1- Section1 : Produit et stock actuel
2- Section2 : Nouvelle quantité (diminution)
3- Section3 : Motif (casse, perte, retour client)
4- Section4 : Notes et justificatif
5- Section5 : Confirmation</t>
  </si>
  <si>
    <t>productId
currentStock
newStock
damageReason
notes</t>
  </si>
  <si>
    <t>Point de vente - Vue caisse principale
1- Section1 : Header "Caisse" avec vendeur
2- Section2 : Panier en cours avec produits
3- Section3 : Scan code-barres
4- Section4 : Total et options de paiement
5- Section5 : Touches rapides (montants fréquents)</t>
  </si>
  <si>
    <t>cartItems
subtotal
paymentMethods
quickAmounts</t>
  </si>
  <si>
    <t>Point de vente - Paiement en cours
1- Section1 : Récapitulatif de la vente
2- Section2 : Sélection du mode de paiement
3- Section3 : Saisie du montant reçu
4- Section4 : Calcul de la monnaie à rendre
5- Section5 : Validation et impression ticket</t>
  </si>
  <si>
    <t>saleTotal
paymentMode
amountReceived
changeToReturn</t>
  </si>
  <si>
    <t>Historique ventes - Vue journalière
1- Section1 : Header "Ventes" avec date du jour
2- Section2 : Résumé de la journée (nb ventes, CA)
3- Section3 : Liste des ventes du jour
4- Section4 : Détail par heure</t>
  </si>
  <si>
    <t>dailySales
salesCount
hourlyBreakdown</t>
  </si>
  <si>
    <t>Historique ventes - Vue mensuelle
1- Section1 : Sélecteur de mois
2- Section2 : Graphique d'évolution mensuelle
3- Section3 : Top ventes du mois
4- Section4 : Comparaison mois précédent</t>
  </si>
  <si>
    <t>monthlySales
trends
topProducts
comparisonRate</t>
  </si>
  <si>
    <t>Détail vente - Informations générales
1- Section1 : Référence et date
2- Section2 : Client et vendeur
3- Section3 : Liste des produits
4- Section4 : Sous-total, taxes, total
5- Section5 : Statut du paiement</t>
  </si>
  <si>
    <t>saleId
saleDate
customerInfo
sellerInfo
itemsList</t>
  </si>
  <si>
    <t>Détail vente - Actions et historique
1- Section1 : Actions possibles (remboursement, avoir)
2- Section2 : Historique des modifications
3- Section3 : Ticket de caisse (aperçu)
4- Section4 : Envoyer par email/SMS</t>
  </si>
  <si>
    <t>refundEligible
modificationHistory
receiptPreview</t>
  </si>
  <si>
    <t>Gestion clients - Liste principale
1- Section1 : Header "Clients" et bouton "Ajouter"
2- Section2 : Barre de recherche
3- Section3 : Liste clients avec nom, téléphone, total achats
4- Section4 : Filtres (fidélité, inactifs)</t>
  </si>
  <si>
    <t>customerList
searchQuery
filters</t>
  </si>
  <si>
    <t>Gestion clients - Vue fidélité
1- Section1 : Top clients (par montant d'achat)
2- Section2 : Programme de fidélité
3- Section3 : Points cumulés par client
4- Section4 : Récompenses disponibles</t>
  </si>
  <si>
    <t>topCustomers
loyaltyPoints
rewards</t>
  </si>
  <si>
    <t>Détail client - Informations personnelles
1- Section1 : Header avec nom client
2- Section2 : Coordonnées (téléphone, email, adresse)
3- Section3 : Statistiques (total achats, nb commandes)
4- Section4 : Préférences et notes</t>
  </si>
  <si>
    <t>customerId
contactInfo
purchaseStats
preferences</t>
  </si>
  <si>
    <t>Détail client - Historique achats
1- Section1 : Historique des transactions
2- Section2 : Produits fréquemment achetés
3- Section3 : Périodes d'achat
4- Section4 : Prochaines actions suggérées</t>
  </si>
  <si>
    <t>transactionHistory
frequentProducts
buyingPatterns</t>
  </si>
  <si>
    <t>Gestion employés - Liste
1- Section1 : Header "Équipe" et bouton "Ajouter"
2- Section2 : Liste des employés avec rôle
3- Section3 : Statut (actif/présent)
4- Section4 : Dernière activité</t>
  </si>
  <si>
    <t>employeeList
roles
activeStatus
lastActivity</t>
  </si>
  <si>
    <t>Gestion employés - Permissions
1- Section1 : Employé sélectionné
2- Section2 : Droits d'accès par module
3- Section3 : Horaires de travail
4- Section4 : Performance (ventes par employé)</t>
  </si>
  <si>
    <t>permissions
workSchedule
salesPerformance</t>
  </si>
  <si>
    <t>Ajout employé - Informations
1- Section1 : Header "Nouvel employé"
2- Section2 : Informations personnelles (nom, téléphone, email)
3- Section3 : Rôle et département
4- Section4 : Identifiants de connexion</t>
  </si>
  <si>
    <t>employeeName
contact
role
department
loginCredentials</t>
  </si>
  <si>
    <t>Ajout employé - Permissions
1- Section1 : Attribution des permissions
2- Section2 : Accès aux modules
3- Section3 : Limites et plafonds
4- Section4 : Notification des accès</t>
  </si>
  <si>
    <t>permissions
moduleAccess
limits
accessAlerts</t>
  </si>
  <si>
    <t>Rapports - Sélection
1- Section1 : Header "Rapports"
2- Section2 : Types de rapports (ventes, stocks, clients)
3- Section3 : Sélecteur de période
4- Section4 : Options d'export</t>
  </si>
  <si>
    <t>reportType
dateRange
availableReports</t>
  </si>
  <si>
    <t>Rapports - Visualisation
1- Section1 : Graphiques et indicateurs
2- Section2 : Tableaux de données
3- Section3 : Comparaisons
4- Section4 : Export et partage</t>
  </si>
  <si>
    <t>reportData
charts
comparisons
exportFormat</t>
  </si>
  <si>
    <t>Gestion dépenses - Liste
1- Section1 : Header "Dépenses" et bouton "Ajouter"
2- Section2 : Résumé par catégorie
3- Section3 : Liste chronologique
4- Section4 : Filtres</t>
  </si>
  <si>
    <t>expenseList
categorySummary
dateFilter</t>
  </si>
  <si>
    <t>Gestion dépenses - Analyse
1- Section1 : Graphiques par catégorie
2- Section2 : Évolution dans le temps
3- Section3 : Dépenses vs prévisions
4- Section4 : Alertes de dépassement</t>
  </si>
  <si>
    <t>expenseAnalysis
categoryCharts
trends
budgetAlerts</t>
  </si>
  <si>
    <t>Ajout dépense - Informations
1- Section1 : Header "Nouvelle dépense"
2- Section2 : Catégorie, montant, date
3- Section3 : Description
4- Section4 : Mode de paiement</t>
  </si>
  <si>
    <t>expenseCategory
amount
date
description
paymentMethod</t>
  </si>
  <si>
    <t>Ajout dépense - Justificatif
1- Section1 : Upload de justificatif
2- Section2 : Notes supplémentaires
3- Section3 : Validation et approbation
4- Section4 : Déclenchement workflow</t>
  </si>
  <si>
    <t>receipt
notes
approvalRequired
workflow</t>
  </si>
  <si>
    <t>Paramètres - Informations entreprise
1- Section1 : Header "Paramètres"
2- Section2 : Informations légales (nom, adresse, RC, NIU)
3- Section3 : Coordonnées
4- Section4 : Logo et image</t>
  </si>
  <si>
    <t>businessInfo
legalInfo
contact
logo</t>
  </si>
  <si>
    <t>Paramètres - Configuration
1- Section1 : Taxes et devises
2- Section2 : Modes de paiement acceptés
3- Section3 : Préférences d'affichage
4- Section4 : Sauvegarde</t>
  </si>
  <si>
    <t>taxSettings
currency
paymentMethods
displayPrefs</t>
  </si>
  <si>
    <t>Notifications - Liste
1- Section1 : Header "Notifications"
2- Section2 : Liste chronologique
3- Section3 : Types (alertes, informations, actions)
4- Section4 : Statut (lues/non lues)</t>
  </si>
  <si>
    <t>notifications
unreadCount
notificationTypes</t>
  </si>
  <si>
    <t>Notifications - Configuration
1- Section1 : Paramètres de notification
2- Section2 : Canaux (email, SMS, in-app)
3- Section3 : Seuils d'alerte
4- Section4 : Récapitulatif quotidien</t>
  </si>
  <si>
    <t>notificationSettings
channels
alertThresholds
dailyDigest</t>
  </si>
  <si>
    <t>Support - FAQ
1- Section1 : Header "Aide"
2- Section2 : Catégories FAQ
3- Section3 : Recherche
4- Section4 : Articles populaires</t>
  </si>
  <si>
    <t>faqCategories
searchQuery
popularArticles</t>
  </si>
  <si>
    <t>Support - Contact
1- Section1 : Formulaire de contact
2- Section2 : Chat en direct
3- Section3 : Historique des demandes
4- Section4 : État des tickets</t>
  </si>
  <si>
    <t>contactForm
liveChat
supportHistory
ticketStatus</t>
  </si>
  <si>
    <t>Profil utilisateur - Informations
1- Section1 : Header "Mon profil"
2- Section2 : Photo et informations personnelles
3- Section3 : Rôle et permissions
4- Section4 : Préférences</t>
  </si>
  <si>
    <t>userProfile
personalInfo
role
permissions</t>
  </si>
  <si>
    <t>Profil utilisateur - Sécurité
1- Section1 : Changement de mot de passe
2- Section2 : Double authentification
3- Section3 : Sessions actives
4- Section4 : Historique des connexions</t>
  </si>
  <si>
    <t>password
2FA
activeSessions
loginHistory</t>
  </si>
  <si>
    <t>Statistiques - Vue générale
1- Section1 : Header "Statistiques"
2- Section2 : Indicateurs clés
3- Section3 : Graphiques principaux
4- Section4 : Téléchargement des données</t>
  </si>
  <si>
    <t>keyMetrics
mainCharts
dataExport</t>
  </si>
  <si>
    <t>Statistiques - Analyses détaillées
1- Section1 : Analyses croisées
2- Section2 : Prévisions
3- Section3 : Comparaisons personnalisées
4- Section4 : Rapports sur mesure</t>
  </si>
  <si>
    <t>crossAnalysis
forecasts
customComparisons
customReports</t>
  </si>
  <si>
    <t>QR Codes - Génération
1- Section1 : Header "QR Codes"
2- Section2 : QR code entreprise
3- Section3 : QR codes par produit
4- Section4 : Personnalisation</t>
  </si>
  <si>
    <t>businessQR
productQRs
customization</t>
  </si>
  <si>
    <t>QR Codes - Statistiques
1- Section1 : Nombre de scans
2- Section2 : Taux d'utilisation
3- Section3 : Paiements via QR
4- Section4 : Analyse par période</t>
  </si>
  <si>
    <t>scanStats
usageRate
qrPayments
periodAnalysis</t>
  </si>
  <si>
    <t>Fidélité - Configuration
1- Section1 : Header "Fidélité"
2- Section2 : Règles (points par achat)
3- Section3 : Seuils de récompense
4- Section4 : Récompenses disponibles</t>
  </si>
  <si>
    <t>loyaltyRules
pointsPerPurchase
rewardThresholds
rewards</t>
  </si>
  <si>
    <t>Fidélité - Suivi clients
1- Section1 : Top clients fidélité
2- Section2 : Points cumulés
3- Section3 : Récompenses attribuées
4- Section4 : Taux de participation</t>
  </si>
  <si>
    <t>topLoyaltyCustomers
accumulatedPoints
awardedRewards
participationRate</t>
  </si>
  <si>
    <t>Tableau de bord de l'agent
1- Section1 : Header avec identification de l'agent et solde de la caisse
2- Section2 : Actions rapides principales
   - Dépôt d'argent
   - Retrait d'argent
   - Transfert
   - Paiement de factures
3- Section3 : Transactions du jour (montant total, commissions)
4- Section4 : Liste des dernières transactions effectuées
5- Section5 : État de la caisse (solde, seuils)
6- Section6 : Notifications (alertes de seuil, demandes en attente)</t>
  </si>
  <si>
    <t>agentId
cashBalance
dailyTransactions
commissionEarned
lowBalanceAlert</t>
  </si>
  <si>
    <t>Même structure que MainWindow_with_balance_visiblility_on mais avec balanceVisibility=false. Le montant du solde est remplacé par '••••••••' (8 points) et l'icône de visibilité montre 'off'. Implémentation Flutter : Condition sur balanceVisibility pour afficher soit le montant réel soit des points de masquage.</t>
  </si>
  <si>
    <t>Extension de la page d'accueil avec défilement infini de l'historique des transactions. Implémentation Flutter : ListView.builder avec pagination (chargement de 20 transactions supplémentaires lors du scroll vers le bas). Indicateur de chargement (CircularProgressIndicator) en fin de liste pendant le chargement.</t>
  </si>
  <si>
    <t>Même extension que UI_ID 5 mais avec balanceVisibility=false. Le montant du solde reste masqué par des points pendant le défilement.</t>
  </si>
  <si>
    <t>Même écran que UI_ID 7 mais avec filtre 'MoneyTransfer' actif. Implémentation Flutter : Le filtre est pré-sélectionné et mis en évidence (couleur primaire). La liste affiche uniquement les transactions de type transfert. L'URL de l'API inclut le paramètre filter=MoneyTransfer.</t>
  </si>
  <si>
    <t>Même écran que UI_ID 7 mais avec filtre 'Bills' actif. Implémentation Flutter : Le filtre 'Factures' est pré-sélectionné. La liste affiche uniquement les transactions de paiement de factures.</t>
  </si>
  <si>
    <t>Écran de succès de paiement. Structure similaire à MoneyTransfer_Success avec icône de succès, message de confirmation, trois boutons d'action et option de téléchargement.</t>
  </si>
  <si>
    <t>Écran d'historique des factures. Structure similaire à TransactionsHistoryWindows avec filtres par catégorie, liste paginée, recherche par période.</t>
  </si>
  <si>
    <t>Écran succès abonnement. Structure similaire aux autres écrans de succès avec icône, message de confirmation et boutons d'action.</t>
  </si>
  <si>
    <t>app: theme_color=blue, padding=0px_x000D_
user: auth_method=pin_x000D_
server: auth_endpoint=/api/auth/pin</t>
  </si>
  <si>
    <t>app: theme_color=blue, biometric_supported=true_x000D_
user: auth_method=pin_biometric_x000D_
server: auth_endpoint=/api/auth/biometric</t>
  </si>
  <si>
    <t>app: theme_colors={primary_blue, white, dark_blue}, padding=2px_x000D_
user: balance_visible=false, balance_masked='••••••••', transactions=user.getLast20Transactions_x000D_
server: images_path=/storage/img/ui/</t>
  </si>
  <si>
    <t>app: theme_colors={primary_blue, white, dark_blue}, padding=2px_x000D_
user: balance_visible=true, transactions=user.getLast20Transactions (scroll suite)_x000D_
server: images_path=/storage/img/ui/</t>
  </si>
  <si>
    <t>app: theme_colors={primary_blue, white, dark_blue}, padding=2px_x000D_
user: balance_visible=false, balance_masked='••••••••', transactions=user.getLast20Transactions (scroll suite)_x000D_
server: images_path=/storage/img/ui/</t>
  </si>
  <si>
    <t>app: theme_colors={white, dark_blue, gray}, active_filter=MoneyTransfer_x000D_
user: transactions=user.getFilteredTransactions('MoneyTransfer')_x000D_
server: api_endpoint=/api/transactions?filter=MoneyTransfer</t>
  </si>
  <si>
    <t>app: theme_colors={white, dark_blue, gray}, active_filter=Bills_x000D_
user: transactions=user.getFilteredTransactions('Bills')_x000D_
server: api_endpoint=/api/transactions?filter=Bills</t>
  </si>
  <si>
    <t>app: theme_colors={white, black}_x000D_
user: settings_options=[Profil, Sécurité, Notifications, Apparence, Langue, Aide, À propos]_x000D_
server: api_endpoint=/api/user/settings</t>
  </si>
  <si>
    <t>app: theme_colors={white, black, blue}_x000D_
user: user_profile_data={name, surname, email, phone, address, photo}_x000D_
server: api_endpoint=/api/user/profile/update</t>
  </si>
  <si>
    <t>app: theme_colors={white, black, blue}_x000D_
user: security_settings={pin_change, fingerprint, face_recognition, two_factor_auth, connected_devices}_x000D_
server: api_endpoint=/api/user/security</t>
  </si>
  <si>
    <t>app: theme_colors={white, black, blue}_x000D_
user: notification_settings={push, email, sms, sound, vibration, do_not_disturb, schedule}_x000D_
server: api_endpoint=/api/user/notifications</t>
  </si>
  <si>
    <t>app: theme_colors={white, black, blue}_x000D_
user: beneficiary_form={name, account_number, bank, description}_x000D_
server: api_endpoint=/api/user/beneficiaries/add</t>
  </si>
  <si>
    <t>app: theme_colors={white, black, blue}_x000D_
user: beneficiaries_list=user.getBeneficiaries()_x000D_
server: api_endpoint=/api/user/beneficiaries</t>
  </si>
  <si>
    <t>app: theme_colors={white, black, blue}_x000D_
user: transfer_form={beneficiary, amount, currency, description}, fees=transfer_fees_x000D_
server: api_endpoint=/api/transactions/transfer</t>
  </si>
  <si>
    <t>app: theme_colors={white, black, blue, red}_x000D_
user: transfer_details={beneficiary, amount, fees, total, description}, pin_required=true_x000D_
server: api_endpoint=/api/transactions/confirm</t>
  </si>
  <si>
    <t>app: theme_colors={white, black, green}_x000D_
user: transfer_success_data={amount, beneficiary, date, reference}_x000D_
server: api_endpoint=/api/transactions/receipt</t>
  </si>
  <si>
    <t>app: theme_colors={white, black, blue}_x000D_
user: bill_form={category, customer_number, amount, period}_x000D_
server: api_endpoint=/api/bills/check, /api/bills/pay</t>
  </si>
  <si>
    <t>app: theme_colors={white, black, blue, red}_x000D_
user: bill_details={provider, customer_number, amount, fees, total, due_date}, pin_required=true_x000D_
server: api_endpoint=/api/bills/confirm</t>
  </si>
  <si>
    <t>app: theme_colors={white, black, green}_x000D_
user: bill_success_data={amount, bill_reference, date, transaction_ref}_x000D_
server: api_endpoint=/api/bills/receipt</t>
  </si>
  <si>
    <t>app: theme_colors={white, black, blue}_x000D_
user: airtime_form={operator, phone_number, amount}_x000D_
server: api_endpoint=/api/airtime/recharge</t>
  </si>
  <si>
    <t>app: theme_colors={black, white}, camera_permission_required=true_x000D_
server: api_endpoint=/api/qr/decode</t>
  </si>
  <si>
    <t>app: theme_colors={white, black, blue, red}_x000D_
user: qr_payment_data={merchant, amount, fees, total}, pin_required=true_x000D_
server: api_endpoint=/api/qr/pay</t>
  </si>
  <si>
    <t>app: theme_colors={white, dark_blue, gray}_x000D_
business: dashboard_stats={revenue_today, transactions_count, customers_count, products_sold}_x000D_
server: api_endpoint=/api/business/dashboard</t>
  </si>
  <si>
    <t>app: theme_colors={white, dark_blue, gray}_x000D_
business: products_list=business.getProducts()_x000D_
server: api_endpoint=/api/business/products</t>
  </si>
  <si>
    <t>app: theme_colors={white, dark_blue, gray}_x000D_
business: product_form={name, description, price, stock, category, images, active}_x000D_
server: api_endpoint=/api/business/products/add</t>
  </si>
  <si>
    <t>app: theme_colors={white, dark_blue, gray}_x000D_
business: product_data={id, name, description, price, stock, category, images, active, history}_x000D_
server: api_endpoint=/api/business/products/update, /api/business/products/delete</t>
  </si>
  <si>
    <t>app: theme_colors={white, dark_blue, gray}_x000D_
business: transactions=business.getTransactions(), filters={period, type}_x000D_
server: api_endpoint=/api/business/transactions</t>
  </si>
  <si>
    <t>app: theme_colors={white, dark_blue, gray}_x000D_
business: clients_list=business.getClients()_x000D_
server: api_endpoint=/api/business/clients</t>
  </si>
  <si>
    <t>app: theme_colors={white, dark_blue, gray}_x000D_
business: analytics_data={sales_by_day, popular_products, loyal_customers, monthly_revenue, growth, conversion_rate, average_basket}_x000D_
server: api_endpoint=/api/business/analytics</t>
  </si>
  <si>
    <t>app: theme_colors={white, dark_blue, gray}_x000D_
business: settings={company_info, payment_methods, opening_hours, delivery_settings, taxes, notification_settings}_x000D_
server: api_endpoint=/api/business/settings</t>
  </si>
  <si>
    <t>app: theme_colors={white, dark_blue, gray}_x000D_
business: staff_list=business.getStaff(), roles={admin, manager, cashier}_x000D_
server: api_endpoint=/api/business/staff</t>
  </si>
  <si>
    <t>app: theme_colors={white, dark_blue, gray}_x000D_
business: staff_form={name, email, role, permissions}_x000D_
server: api_endpoint=/api/business/staff/add</t>
  </si>
  <si>
    <t>app: theme_colors={white, dark_blue, gray}_x000D_
business: staff_data={id, name, email, role, permissions, active}_x000D_
server: api_endpoint=/api/business/staff/update, /api/business/staff/delete</t>
  </si>
  <si>
    <t>app: theme_colors={white, dark_blue, gray}_x000D_
business: inventory=business.getInventory(), alerts=low_stock_alerts_x000D_
server: api_endpoint=/api/business/inventory</t>
  </si>
  <si>
    <t>app: theme_colors={white, dark_blue, gray}_x000D_
business: adjustment_form={product, type, quantity, reason}_x000D_
server: api_endpoint=/api/business/inventory/adjust</t>
  </si>
  <si>
    <t>app: theme_colors={white, dark_blue, gray}_x000D_
business: suppliers_list=business.getSuppliers()_x000D_
server: api_endpoint=/api/business/suppliers</t>
  </si>
  <si>
    <t>app: theme_colors={white, dark_blue, gray}_x000D_
business: supplier_form={company_name, contact_name, email, phone, address, products}_x000D_
server: api_endpoint=/api/business/suppliers/add</t>
  </si>
  <si>
    <t>app: theme_colors={white, dark_blue, gray}_x000D_
business: supplier_data={id, company_name, contact_name, email, phone, address, products, order_history}_x000D_
server: api_endpoint=/api/business/suppliers/update, /api/business/suppliers/delete</t>
  </si>
  <si>
    <t>app: theme_colors={white, dark_blue, gray}_x000D_
business: orders_list=business.getOrders(), order_statuses={pending, confirmed, shipped, delivered}_x000D_
server: api_endpoint=/api/business/orders</t>
  </si>
  <si>
    <t>app: theme_colors={white, dark_blue, gray}_x000D_
business: order_details={customer, products, quantities, prices, total, status, status_history, shipping_address}_x000D_
server: api_endpoint=/api/business/orders/details, /api/business/orders/update-status</t>
  </si>
  <si>
    <t>app: theme_colors={white, dark_blue, gray}_x000D_
business: deliveries=business.getDeliveries(), delivery_statuses={pending, in_transit, delivered, issue}_x000D_
server: api_endpoint=/api/business/deliveries</t>
  </si>
  <si>
    <t>app: theme_colors={white, dark_blue, gray}_x000D_
business: returns=business.getReturns(), return_statuses={requested, approved, rejected, processed}_x000D_
server: api_endpoint=/api/business/returns</t>
  </si>
  <si>
    <t>app: theme_colors={white, dark_blue, gray}_x000D_
business: promotions=business.getPromotions(), promotion_types={percentage, fixed_amount}_x000D_
server: api_endpoint=/api/business/promotions</t>
  </si>
  <si>
    <t>app: theme_colors={white, dark_blue, gray}_x000D_
business: promotion_form={name, type, value, products, start_date, end_date, conditions}_x000D_
server: api_endpoint=/api/business/promotions/add</t>
  </si>
  <si>
    <t>app: theme_colors={white, dark_blue, gray}_x000D_
business: promotion_data={id, name, type, value, products, start_date, end_date, conditions, active, performance}_x000D_
server: api_endpoint=/api/business/promotions/update, /api/business/promotions/delete</t>
  </si>
  <si>
    <t>app: theme_colors={white, dark_blue, gray}_x000D_
business: report_types={sales, financial, products, customers}, date_range_selector=true_x000D_
server: api_endpoint=/api/business/reports/generate</t>
  </si>
  <si>
    <t>app: theme_colors={white, dark_blue, gray}_x000D_
business: taxes=business.getTaxes(), tax_form={name, rate, applicable_to}_x000D_
server: api_endpoint=/api/business/taxes</t>
  </si>
  <si>
    <t>app: theme_colors={white, dark_blue, gray}_x000D_
business: tax_form={name, rate, type, applicable_to}_x000D_
server: api_endpoint=/api/business/taxes/add</t>
  </si>
  <si>
    <t>app: theme_colors={white, dark_blue, gray}_x000D_
business: tax_data={id, name, rate, type, applicable_to, active, history}_x000D_
server: api_endpoint=/api/business/taxes/update, /api/business/taxes/delete</t>
  </si>
  <si>
    <t>app: theme_colors={white, dark_blue, gray}_x000D_
business: payment_methods=business.getPaymentMethods(), method_config={fees, processing_time}_x000D_
server: api_endpoint=/api/business/payment-methods</t>
  </si>
  <si>
    <t>app: theme_colors={white, dark_blue, gray}_x000D_
business: payment_config={fees_percentage, fixed_fee, processing_time, active, advanced_options}_x000D_
server: api_endpoint=/api/business/payment-methods/configure</t>
  </si>
  <si>
    <t>app: theme_colors={white, dark_blue, gray}_x000D_
business: notification_settings={new_order, low_stock, payment_received, email, push, sms}_x000D_
server: api_endpoint=/api/business/notifications/settings</t>
  </si>
  <si>
    <t>app: theme_colors={white, dark_blue, gray}_x000D_
agent: dashboard_stats={balance, today_transactions, commission, clients_served}, quick_actions={deposit, withdrawal, transfer, register_client}_x000D_
server: api_endpoint=/api/agent/dashboard</t>
  </si>
  <si>
    <t>app: theme_colors={white, dark_blue, gray}_x000D_
agent: deposit_form={client, amount, payment_mode, reference}, identity_verification=true_x000D_
server: api_endpoint=/api/agent/deposit</t>
  </si>
  <si>
    <t>app: theme_colors={white, dark_blue, gray}_x000D_
agent: withdrawal_form={client, amount}, client_balance_verification=true, client_pin_required=true, identity_verification=true_x000D_
server: api_endpoint=/api/agent/withdrawal</t>
  </si>
  <si>
    <t>app: theme_colors={white, dark_blue, gray}_x000D_
agent: transfer_form={sender, beneficiary, amount}, sender_balance_verification=true, pin_required=true_x000D_
server: api_endpoint=/api/agent/transfer</t>
  </si>
  <si>
    <t>app: theme_colors={white, dark_blue, gray}_x000D_
agent: registration_form={name, surname, birth_date, id_type, id_number, phone, email, photo}, identity_documents_required=true_x000D_
server: api_endpoint=/api/agent/register-client</t>
  </si>
  <si>
    <t>app: theme_colors={white, dark_blue, gray}_x000D_
agent: commission_data={total, today, monthly, history}, chart_data=commission_evolution_x000D_
server: api_endpoint=/api/agent/commission</t>
  </si>
  <si>
    <t>app: theme_colors={white, dark_blue, gray}_x000D_
agent: transactions=agent.getTransactions(), filters={type, period}_x000D_
server: api_endpoint=/api/agent/transactions</t>
  </si>
  <si>
    <t>app: theme_colors={white, dark_blue, gray}_x000D_
agent: clients=agent.getClients(), quick_actions={view_details, deposit, withdrawal, history}_x000D_
server: api_endpoint=/api/agent/clients</t>
  </si>
  <si>
    <t>app: theme_colors={white, dark_blue, gray}_x000D_
agent: client_details={personal_info, balance, id_document}, client_transactions=client.getTransactions()_x000D_
server: api_endpoint=/api/agent/clients/details</t>
  </si>
  <si>
    <t>app: theme_colors={white, dark_blue, gray}_x000D_
agent: cash_balance=agent.cash_balance, cash_operations={deposit, withdrawal, transfer}, cash_movement_history=agent.getCashMovements(), low_balance_alert_threshold=configured_x000D_
server: api_endpoint=/api/agent/cash-management</t>
  </si>
  <si>
    <t>app: theme_colors={white, dark_blue, gray}_x000D_
agent: daily_report={total_transactions, total_amount, total_commission, opening_balance, closing_balance}, details_by_type_x000D_
server: api_endpoint=/api/agent/daily-report</t>
  </si>
  <si>
    <t>app: theme_colors={white, dark_blue, gray}_x000D_
agent: settings={profile, preferences, notifications, security, transaction_limits, working_hours}_x000D_
server: api_endpoint=/api/agent/settings</t>
  </si>
  <si>
    <t>app: theme_colors={white, dark_blue, gray}_x000D_
agent: support_options={live_chat, call, faq, report_issue, request_assistance}, ticket_history=agent.getSupportTickets()_x000D_
server: api_endpoint=/api/agent/support</t>
  </si>
  <si>
    <t>app: theme_colors={white, dark_blue, gray}_x000D_
agent: training_modules={app_usage, procedures, security, customer_service, products}, training_progress=agent.getTrainingProgress()_x000D_
server: api_endpoint=/api/agent/training</t>
  </si>
  <si>
    <t>app: theme_colors={white, dark_blue, gray}_x000D_
agent: login_form={agent_id, password, cash_code}, security_two_factor=true_x000D_
server: api_endpoint=/api/agent/login</t>
  </si>
  <si>
    <t>Interface principale avec solde masqué. 
Même structure que MainWindow_with_balance_visiblility_on mais le montant du solde est remplacé par '••••••••' et l'icône de visibilité est barrée (œil fermé). 
QR code visible, services identiques, historique transactions visible. 
Padding 2px.</t>
  </si>
  <si>
    <t>Suite de l'historique des transactions (scroll bas). 
Solde toujours visible (œil ouvert). 
Affiche 5 lignes supplémentaires de transactions avec noms, numéros, montants, dates. 
Structure identique à la fenêtre principale. 
Padding 2px.</t>
  </si>
  <si>
    <t>Suite de l'historique des transactions (scroll bas). 
Solde masqué (œil barré, '••••••••'). 
Affiche les mêmes transactions supplémentaires que la version avec solde visible. 
Historique défilement continu. 
Padding 2px.</t>
  </si>
  <si>
    <t>Fenêtre historique filtrée sur 'Transfert d'argent'. 
Même structure que TransactionsHistoryWindows mais le filtre 'Transfert' est surligné en bleu. 
Liste affiche uniquement les transactions de type transfert. 
Bouton retour, champ recherche, catégories visibles.</t>
  </si>
  <si>
    <t>Fenêtre historique filtrée sur 'Facture'. 
Même structure que TransactionsHistoryWindows mais le filtre 'Facture' est surligné en bleu. 
Liste affiche uniquement les transactions de type facture. 
Bouton retour, champ recherche, catégories visibles.</t>
  </si>
  <si>
    <t>Menu paramètres. 
En-tête avec bouton retour et titre 'Paramètres'. 
Liste d'options: 'Profil', 'Sécurité', 'Notifications', 'Apparence', 'Langue', 'Aide', 'À propos'. 
Icônes à gauche de chaque option. 
Fond blanc, texte noir.</t>
  </si>
  <si>
    <t>Gestion de profil. 
En-tête avec bouton retour et titre 'Mon Profil'. 
Photo de profil (cercle). 
Champs éditables: 'Nom', 'Prénom', 'Email', 'Téléphone', 'Adresse'. 
Bouton 'Enregistrer' en bas. 
Icône appareil photo pour changer photo.</t>
  </si>
  <si>
    <t>Paramètres de sécurité. 
En-tête avec bouton retour. 
Options: 'Changer code PIN', 'Activer empreinte digitale', 'Activer reconnaissance faciale', 'Authentification à deux facteurs', 'Gérer appareils connectés'. 
Toggles ON/OFF pour les options activables.</t>
  </si>
  <si>
    <t>Paramètres notifications. 
En-tête avec bouton retour. 
Options: 'Notifications push', 'Email', 'SMS', 'Sonnerie', 'Vibration', 'Ne pas déranger'. 
Toggles ON/OFF pour chaque option. 
Horaires configurables pour 'Ne pas déranger'.</t>
  </si>
  <si>
    <t>Ajout bénéficiaire. 
En-tête avec bouton retour et titre 'Ajouter bénéficiaire'. 
Champs: 'Nom', 'Numéro de compte', 'Banque', 'Description'. 
Bouton 'Scanner QR code' avec icône caméra. 
Bouton 'Ajouter' en bas.</t>
  </si>
  <si>
    <t>Liste des bénéficiaires. 
En-tête avec bouton retour, titre 'Bénéficiaires', bouton '+'. 
Champ recherche. 
Liste avec noms, numéros de compte, icônes de modification/suppression par ligne. 
Bouton 'Ajouter' flottant en bas à droite.</t>
  </si>
  <si>
    <t>Formulaire transfert d'argent. 
En-tête avec bouton retour et titre 'Transfert'. 
Champs: 'Bénéficiaire' (sélecteur), 'Montant', 'Devise' (FCFA, EUR, USD), 'Description'. 
Bouton 'Continuer' en bas. 
Récapitulatif des frais éventuels.</t>
  </si>
  <si>
    <t>Confirmation transfert. 
En-tête avec bouton retour. 
Récapitulatif: 'Bénéficiaire', 'Montant', 'Frais', 'Total', 'Description'. 
Demande de confirmation avec boutons 'Annuler' et 'Confirmer'. 
Champ saisie code PIN pour validation.</t>
  </si>
  <si>
    <t>Succès transfert. 
En-tête avec bouton retour. 
Icône vérification verte (✓). 
Message 'Transfert réussi'. 
Détails: montant, bénéficiaire, date, référence. 
Boutons 'Partager reçu', 'Nouveau transfert', 'Retour accueil'.</t>
  </si>
  <si>
    <t>Formulaire paiement facture. 
En-tête avec bouton retour et titre 'Payer facture'. 
Catégories: 'Eau', 'Électricité', 'Internet', 'Téléphone'. 
Champs selon catégorie: 'Numéro client', 'Montant', 'Période'. 
Bouton 'Vérifier' puis 'Payer'.</t>
  </si>
  <si>
    <t>Confirmation paiement facture. 
Récapitulatif: 'Fournisseur', 'Numéro client', 'Montant', 'Frais', 'Total', 'Échéance'. 
Boutons 'Annuler' et 'Confirmer'. 
Champ code PIN pour validation. 
Détails facture affichés.</t>
  </si>
  <si>
    <t>Succès paiement facture. 
Icône vérification verte. 
Message 'Facture payée avec succès'. 
Détails: montant, facture, date, référence transaction. 
Boutons 'Voir facture', 'Payer autre facture', 'Accueil'.</t>
  </si>
  <si>
    <t>Recharge airtime. 
En-tête avec bouton retour et titre 'Recharge'. 
Opérateurs: 'Opérateur A', 'Opérateur B', 'Opérateur C' avec logos. 
Champ 'Numéro téléphone', sélecteur montant (prédéfinis ou personnalisé). 
Bouton 'Recharger'.</t>
  </si>
  <si>
    <t>Scanner QR code. 
Interface caméra plein écran avec cadre de scan. 
Instructions 'Placez le QR code dans le cadre'. 
Boutons: flash, galerie, fermer. 
Résultat scan affiché en bas une fois détecté.</t>
  </si>
  <si>
    <t>Paiement par QR code. 
Après scan: affiche 'Paiement à: [Marchand]', 'Montant: [valeur]', 'Frais: [valeur]', 'Total: [valeur]'. 
Champ code PIN. 
Boutons 'Annuler' et 'Confirmer'. 
Détails transaction.</t>
  </si>
  <si>
    <t>Tableau de bord business. 
En-tête: nom entreprise, notifications. 
Statistiques: 'CA aujourd'hui', 'Transactions', 'Clients', 'Produits vendus'. 
Graphiques d'activité. 
Liste dernières transactions. 
Boutons actions rapides.</t>
  </si>
  <si>
    <t>Gestion produits. 
En-tête avec titre 'Produits', bouton '+'. 
Liste produits avec image, nom, prix, stock, statut (actif/inactif). 
Options modifier/supprimer par ligne. 
Recherche et filtres.</t>
  </si>
  <si>
    <t>Ajout produit. 
Formulaire: 'Nom', 'Description', 'Prix', 'Stock', 'Catégorie', 'Images' (upload). 
Toggle 'Actif/Inactif'. 
Boutons 'Annuler' et 'Enregistrer'. 
Aperçu produit.</t>
  </si>
  <si>
    <t>Modification produit. 
Même formulaire que l'ajout mais pré-rempli avec données existantes. 
Boutons 'Mettre à jour' et 'Supprimer'. 
Historique des modifications.</t>
  </si>
  <si>
    <t>Transactions business. 
En-tête avec filtres (période, type). 
Liste transactions clients avec: client, produit, montant, date, statut. 
Options exporter. 
Graphique évolution ventes. 
Totaux.</t>
  </si>
  <si>
    <t>Gestion clients. 
Liste clients avec: nom, email, téléphone, total achats, dernière activité. 
Recherche et filtres. 
Options: voir historique, contacter, fidélité.</t>
  </si>
  <si>
    <t>Analytics business. 
Graphiques: 'Ventes par jour', 'Produits populaires', 'Clients fidèles', 'Revenus mensuels'. 
Métriques clés: 'Croissance', 'Taux conversion', 'Panier moyen'. 
Export données.</t>
  </si>
  <si>
    <t>Paramètres entreprise. 
Sections: 'Informations entreprise', 'Moyens paiement acceptés', 'Horaires', 'Livraison', 'Taxes', 'Notifications'. 
Formulaire édition avec sauvegarde.</t>
  </si>
  <si>
    <t>Gestion personnel. 
Liste employés avec: nom, rôle, email, permissions, statut. 
Bouton '+ Ajouter'. 
Options modifier/suspendre. 
Invitations par email.</t>
  </si>
  <si>
    <t>Ajout personnel. 
Formulaire: 'Nom', 'Email', 'Rôle', 'Permissions' (cases à cocher). 
Options: 'Envoyer invitation par email'. 
Boutons 'Annuler' et 'Ajouter'.</t>
  </si>
  <si>
    <t>Modification personnel. 
Formulaire pré-rempli avec données employé. 
Modification rôle et permissions. 
Option 'Désactiver compte'. 
Boutons 'Mettre à jour' et 'Supprimer'.</t>
  </si>
  <si>
    <t>Gestion inventaire. 
Liste produits avec: nom, référence, stock actuel, stock minimum, statut. 
Alertes pour stock faible. 
Historique mouvements. 
Ajustements.</t>
  </si>
  <si>
    <t>Ajustement stock. 
Formulaire: 'Produit' (sélecteur), 'Type ajustement' (ajout/retrait), 'Quantité', 'Raison'. 
Boutons 'Annuler' et 'Valider'. 
Historique ajustements visible.</t>
  </si>
  <si>
    <t>Gestion fournisseurs. 
Liste fournisseurs avec: nom, contact, email, téléphone, produits fournis. 
Bouton '+ Ajouter'. 
Recherche. 
Commandes en cours.</t>
  </si>
  <si>
    <t>Ajout fournisseur. 
Formulaire: 'Nom entreprise', 'Contact', 'Email', 'Téléphone', 'Adresse', 'Produits/services'. 
Boutons 'Annuler' et 'Ajouter'.</t>
  </si>
  <si>
    <t>Modification fournisseur. 
Formulaire pré-rempli. 
Modification coordonnées, produits fournis. 
Historique commandes. 
Boutons 'Mettre à jour' et 'Supprimer'.</t>
  </si>
  <si>
    <t>Gestion commandes. 
Liste commandes avec: numéro, client, montant, date, statut (en attente, confirmée, expédiée, livrée). 
Filtres. 
Actions: voir détail, changer statut.</t>
  </si>
  <si>
    <t>Détails commande. 
Informations: client, produits commandés, quantités, prix, total. 
Statut actuel. 
Historique statuts. 
Boutons: 'Confirmer', 'Expédier', 'Annuler'. 
Adresse livraison.</t>
  </si>
  <si>
    <t>Gestion livraisons. 
Liste livraisons avec: commande, adresse, transporteur, statut, date estimée. 
Carte avec suivi. 
Options: 'Marquer livrée', 'Problème'.</t>
  </si>
  <si>
    <t>Gestion retours. 
Liste retours avec: commande, client, produit, raison, statut (demandé, approuvé, refusé, traité). 
Actions: approuver/refuser, remboursement.</t>
  </si>
  <si>
    <t>Gestion promotions. 
Liste promotions avec: nom, type (% ou montant fixe), produits concernés, dates validité, statut. 
Bouton '+ Nouvelle promotion'.</t>
  </si>
  <si>
    <t>Ajout promotion. 
Formulaire: 'Nom', 'Type' (%/fixe), 'Valeur', 'Produits concernés' (sélection), 'Date début', 'Date fin', 'Conditions'. 
Boutons 'Annuler' et 'Créer'.</t>
  </si>
  <si>
    <t>Modification promotion. 
Formulaire pré-rempli. 
Modifier valeurs, dates, produits. 
Activer/désactiver. 
Boutons 'Mettre à jour' et 'Supprimer'. 
Performances promotion.</t>
  </si>
  <si>
    <t>Rapports business. 
Types: 'Ventes', 'Financier', 'Produits', 'Clients'. 
Sélection période. 
Aperçu graphique. 
Bouton 'Générer rapport' et 'Exporter' (PDF/Excel).</t>
  </si>
  <si>
    <t>Configuration taxes. 
Liste taxes: 'TVA', 'Taxe locale', etc. 
avec taux et applicabilité. 
Options: modifier taux, activer/désactiver. 
Ajout nouvelle taxe.</t>
  </si>
  <si>
    <t>Ajout taxe. 
Formulaire: 'Nom taxe', 'Taux (%)', 'Type' (fixe/pourcentage), 'Applicable à' (tous produits/catégorie spécifique). 
Boutons 'Annuler' et 'Ajouter'.</t>
  </si>
  <si>
    <t>Modification taxe. 
Formulaire pré-rempli. 
Modifier taux, applicabilité. 
Activer/désactiver. 
Boutons 'Mettre à jour' et 'Supprimer'. 
Historique modifications.</t>
  </si>
  <si>
    <t>Moyens paiement. 
Liste méthodes acceptées: 'Mobile Money', 'Carte', 'PayPal', etc. 
Toggles pour activer/désactiver. 
Configuration par méthode (frais, délais).</t>
  </si>
  <si>
    <t>Configuration méthode paiement. 
Formulaire: 'Frais (%)', 'Frais fixe', 'Délai traitement', 'Statut' (actif/inactif). 
Options avancées selon méthode. 
Bouton 'Enregistrer'.</t>
  </si>
  <si>
    <t>Notifications business. 
Liste notifications: nouvelles commandes, alertes stock, paiements reçus. 
Toggles pour activer types notification (email, push, SMS).</t>
  </si>
  <si>
    <t>Tableau de bord agent. 
En-tête: nom agent, solde caisse. 
Statistiques: 'Transactions aujourd'hui', 'Commission', 'Clients servis'. 
Actions rapides: 'Dépôt', 'Retrait', 'Transfert', 'Inscription client'. 
Liste dernières transactions.</t>
  </si>
  <si>
    <t>Dépôt agent. 
Formulaire: 'Client' (recherche/sélection), 'Montant', 'Mode paiement' (espèces/carte), 'Référence'. 
Vérification identité client. 
Bouton 'Confirmer dépôt'.</t>
  </si>
  <si>
    <t>Retrait agent. 
Formulaire: 'Client' (recherche/sélection), 'Montant', vérification solde client. 
Vérification identité (pièce d'identité). 
Saisie code PIN client. 
Bouton 'Confirmer retrait'.</t>
  </si>
  <si>
    <t>Transfert agent. 
Formulaire: 'Expéditeur' (client), 'Bénéficiaire' (client), 'Montant'. 
Vérification solde expéditeur. 
Code PIN expéditeur. 
Bouton 'Confirmer transfert'.</t>
  </si>
  <si>
    <t>Inscription client par agent. 
Formulaire: 'Nom', 'Prénom', 'Date naissance', 'Pièce identité' (type, numéro), 'Téléphone', 'Email', 'Photo'. 
Bouton 'Inscrire client'.</t>
  </si>
  <si>
    <t>Commission agent. 
Affichage: 'Commission totale', 'Commission aujourd'hui', 'Commission mensuelle'. 
Historique commissions avec: date, transaction, montant, commission. 
Graphique évolution.</t>
  </si>
  <si>
    <t>Historique transactions agent. 
Liste avec: type (dépôt/retrait/transfert), client, montant, date, commission. 
Filtres par type, période. 
Export. 
Recherche.</t>
  </si>
  <si>
    <t>Gestion clients par agent. 
Liste clients avec: nom, téléphone, email, solde, dernière activité. 
Recherche. 
Actions: voir détails, dépôt rapide, retrait rapide, historique.</t>
  </si>
  <si>
    <t>Détails client (agent). 
Informations: nom, téléphone, email, solde, pièce identité. 
Historique transactions client. 
Actions: dépôt, retrait, transfert. 
Notes.</t>
  </si>
  <si>
    <t>Gestion caisse agent. 
Solde actuel. 
Opérations: 'Dépôt caisse', 'Retrait caisse', 'Transfert caisse'. 
Historique mouvements caisse avec: date, type, montant, solde après. 
Alertes solde bas.</t>
  </si>
  <si>
    <t>Rapport journalier agent. 
Résumé: 'Transactions totales', 'Montant total', 'Commission totale', 'Solde début/fin'. 
Détail par type transaction. 
Options: imprimer, envoyer par email.</t>
  </si>
  <si>
    <t>Paramètres agent. 
Sections: 'Profil', 'Préférences', 'Notifications', 'Sécurité', 'Limites transactions', 'Horaires travail'. 
Formulaire modification.</t>
  </si>
  <si>
    <t>Support agent. 
Options: 'Chat en direct', 'Appeler support', 'FAQ', 'Signaler problème', 'Demander assistance'. 
Historique tickets. 
Statut demande.</t>
  </si>
  <si>
    <t>Formation agent. 
Modules: 'Utilisation application', 'Procédures', 'Sécurité', 'Service client', 'Produits'. 
Vidéos, documents, quiz. 
Progression.</t>
  </si>
  <si>
    <t>Connexion agent. 
Logo TipTop Transfer Agent. 
Champs: 'Identifiant agent', 'Mot de passe', 'Code caisse'. 
Bouton 'Se connecter'. 
Option 'Mot de passe oublié'. 
Sécurité renforcée.</t>
  </si>
  <si>
    <t>app: pinLength=6, pinKeyboardType=numeric, biometricAvailable=false
server: authEndpoint=/api/auth/pin
utilisateur: userPIN (stocké localement)</t>
  </si>
  <si>
    <t>app: pinLength=6, biometricAvailable=true, biometricType=fingerprint|face
server: authEndpoint=/api/auth/biometric
utilisateur: userPIN, biometricEnabled</t>
  </si>
  <si>
    <t>app: defaultPadding=2.0, balanceVisibility=true, servicesPerRow=4, transactionDateFormat='dd MMM yyyy, HH:mm'
server: userBalanceEndpoint=/api/user/balance, userProfileEndpoint=/api/user/profile, lastTransactionsEndpoint=/api/transactions/last/20
utilisateur: user.user_profil.balance, user.user_profil.currency, user.user_profil.getLast20Transactions</t>
  </si>
  <si>
    <t>app: balanceVisibility=false, hiddenBalanceChar='•', hiddenBalanceLength=8
server: (identique à UI_ID 3)
utilisateur: (identique à UI_ID 3)</t>
  </si>
  <si>
    <t>app: balanceVisibility=true, transactionsPageSize=20, enableInfiniteScroll=true
server: paginatedTransactionsEndpoint=/api/transactions?page={page}&amp;limit=20
utilisateur: user.user_profil.getTransactionsPage(page,20)</t>
  </si>
  <si>
    <t>app: balanceVisibility=false, hiddenBalanceChar='•', hiddenBalanceLength=8, transactionsPageSize=20
server: (identique à UI_ID 5)
utilisateur: (identique à UI_ID 5)</t>
  </si>
  <si>
    <t>app: transactionsPageSize=20, searchDebounceTime=500, filterChipsEnabled=true
server: allTransactionsEndpoint=/api/transactions/all?page={page}&amp;limit=20, searchTransactionsEndpoint=/api/transactions/search?q={query}, filterTransactionsEndpoint=/api/transactions/filter?category={category}
utilisateur: user.user_profil.getAllTransactions_PaginateInterval20, user.user_profil.getAllProducts_Services, user.user_profil.getAllCategoryOfPaymentServiceProvider, user.user_profil.getAllPaymentServiceProviderByCategory</t>
  </si>
  <si>
    <t>app: activeFilter='MoneyTransfer', filterChipsEnabled=true
server: filteredTransactionsEndpoint=/api/transactions/filter?type=MoneyTransfer&amp;page={page}&amp;limit=20
utilisateur: user.user_profil.getTransactionsByType('MoneyTransfer')</t>
  </si>
  <si>
    <t>app: activeFilter='Bills', filterChipsEnabled=true
server: filteredTransactionsEndpoint=/api/transactions/filter?type=Bills&amp;page={page}&amp;limit=20
utilisateur: user.user_profil.getTransactionsByType('Bills')</t>
  </si>
  <si>
    <t>app: phoneValidationRegex='^[0-9]{8,15}$', defaultCountryCode='+225', enableContactsPicker=true
server: validateRecipientEndpoint=/api/recipient/validate?phone={phone}
utilisateur: recipientPhone, countryCode</t>
  </si>
  <si>
    <t>app: minTransferAmount=100, maxTransferAmount=1000000, feesCalculationFormula='amount*0.01', currencySymbol='FCFA'
server: calculateFeesEndpoint=/api/transfer/fees?amount={amount}
utilisateur: transferAmount, recipientInfo, feesAmount</t>
  </si>
  <si>
    <t>app: confirmationRequired=true, showFeesBreakdown=true
server: transferInitiationEndpoint=/api/transfer/initiate
utilisateur: transferAmount, fees, totalAmount, recipientDetails</t>
  </si>
  <si>
    <t>app: successAnimationDuration=2000, autoRedirectDelay=5000, shareReceiptEnabled=true
server: transactionDetailsEndpoint=/api/transaction/{id}
utilisateur: transactionId, transferAmount, recipientName, receiptURL</t>
  </si>
  <si>
    <t>app: categoriesGridColumns=2, showRecentBills=true
server: billCategoriesEndpoint=/api/bills/categories, recentBillsEndpoint=/api/bills/recent
utilisateur: billCategories, selectedCategory, recentBills</t>
  </si>
  <si>
    <t>app: showProviderLogo=true, providersByCountry=true
server: providersByCategoryEndpoint=/api/bills/providers?category={category}
utilisateur: providerList, selectedProvider, categoryType</t>
  </si>
  <si>
    <t>app: contractNumberMinLength=6, contractNumberMaxLength=12, contractNumberFormat='numeric'
server: verifyContractEndpoint=/api/bills/verify?provider={provider}&amp;contract={contract}
utilisateur: contractNumber, providerName, billType</t>
  </si>
  <si>
    <t>app: dueDateAlertDays=3, partialPaymentEnabled=true
server: billDetailsEndpoint=/api/bills/details?contract={contract}
utilisateur: dueAmount, dueDate, contractNumber, partialPaymentAllowed</t>
  </si>
  <si>
    <t>app: rememberContractEnabled=true, showFeesBreakdown=true
server: confirmBillPaymentEndpoint=/api/bills/pay
utilisateur: billAmount, fees, totalAmount, saveContract</t>
  </si>
  <si>
    <t>app: successAnimation=true, receiptDownloadEnabled=true
server: billReceiptEndpoint=/api/bills/receipt/{id}
utilisateur: transactionId, billReference, amount, receiptURL</t>
  </si>
  <si>
    <t>app: historyFilters=['Tous','Électricité','Eau','Télécom'], dateRangePickerEnabled=true
server: billHistoryEndpoint=/api/bills/history?filter={filter}&amp;period={period}
utilisateur: billHistory, filterType, dateRange</t>
  </si>
  <si>
    <t>app: categories=['Streaming','Internet','Téléphonie'], showActiveSubscriptions=true
server: availableSubscriptionsEndpoint=/api/subscriptions/available, userSubscriptionsEndpoint=/api/user/subscriptions
utilisateur: subscriptionList, activeSubscriptions, categoryFilter</t>
  </si>
  <si>
    <t>app: highlightRecommendedPlan=true, plans=['mensuel','trimestriel','annuel']
server: subscriptionPlansEndpoint=/api/subscriptions/plans?service={service}
utilisateur: serviceName, subscriptionPlans, prices, discountInfo</t>
  </si>
  <si>
    <t>app: autoRenewalDefault=true, confirmationRequired=true
server: subscriptionConfirmEndpoint=/api/subscriptions/confirm
utilisateur: subscriptionType, price, nextBillingDate, autoRenewal</t>
  </si>
  <si>
    <t>app: successAnimation=true, manageSubscriptionEnabled=true
server: subscriptionDetailsEndpoint=/api/subscriptions/{id}
utilisateur: serviceName, plan, startDate, subscriptionId</t>
  </si>
  <si>
    <t>app: kpiCards=['CA jour','CA mois','Transactions'], chartType='line', quickActions=4
server: businessDashboardEndpoint=/api/business/dashboard, businessTransactionsEndpoint=/api/business/transactions/recent
utilisateur: dailyRevenue, monthlyRevenue, transactionsCount, businessId</t>
  </si>
  <si>
    <t>app: kpiCards=['CA','Panier moyen','Conversion'], chartType='pie', showTopProducts=5
server: businessStatsEndpoint=/api/business/stats, topProductsEndpoint=/api/business/products/top
utilisateur: dailyRevenue, avgBasket, conversionRate, topProducts</t>
  </si>
  <si>
    <t>app: productsPerPage=20, categoriesFilter=true, actions=['edit','duplicate','archive']
server: productsEndpoint=/api/business/products, categoriesEndpoint=/api/business/categories
utilisateur: productList, stockLevels, categories, searchQuery</t>
  </si>
  <si>
    <t>app: lowStockThreshold=5, highlightAlerts=true, quickReorder=true
server: lowStockEndpoint=/api/business/products/low-stock
utilisateur: lowStockAlerts, outOfStockItems, reorderPoints</t>
  </si>
  <si>
    <t>app: requiredFields=['name','sellingPrice'], categories=['Électronique','Vêtements','Alimentation']
server: addProductEndpoint=/api/business/products/add
utilisateur: productName, description, category, purchasePrice, sellingPrice</t>
  </si>
  <si>
    <t>app: enableSKU=true, maxImages=5, variantsEnabled=true, taxRateDefault=18
server: uploadImageEndpoint=/api/upload/product
utilisateur: sku, barcode, images, variants, taxRate</t>
  </si>
  <si>
    <t>app: locations=['Magasin','Entrepôt'], showMovementHistory=true
server: inventoryEndpoint=/api/business/inventory, movementsEndpoint=/api/business/inventory/movements
utilisateur: inventoryList, lowStockAlerts, stockLocations</t>
  </si>
  <si>
    <t>app: stockHistoryDays=30, reorderLevelEditable=true
server: productStockEndpoint=/api/business/inventory/product/{id}, productHistoryEndpoint=/api/business/inventory/product/{id}/history
utilisateur: productStock, stockHistory, reorderLevel</t>
  </si>
  <si>
    <t>app: adjustmentReasons=['Réapprovisionnement','Retour fournisseur','Correction'], defaultIncrease=true
server: adjustStockEndpoint=/api/business/inventory/adjust
utilisateur: productId, currentStock, newStock, adjustmentReason</t>
  </si>
  <si>
    <t>app: adjustmentReasons=['Casse','Perte','Retour client','Erreur'], requireNotes=true, enableReceipt=true
server: (identique)
utilisateur: productId, currentStock, newStock, damageReason, notes</t>
  </si>
  <si>
    <t>app: quickAmounts=[1000,5000,10000,25000], enableBarcodeScan=true
server: validateProductEndpoint=/api/business/product/scan/{barcode}, processSaleEndpoint=/api/business/sale
utilisateur: cartItems, subtotal, paymentMethods, quickAmounts</t>
  </si>
  <si>
    <t>app: paymentModes=['Espèces','Carte','Mobile Money'], receiptPrinting=true
server: confirmPaymentEndpoint=/api/business/sale/confirm
utilisateur: saleTotal, paymentMode, amountReceived, changeToReturn</t>
  </si>
  <si>
    <t>app: defaultView='daily', showHourlyBreakdown=true
server: dailySalesEndpoint=/api/business/sales/daily?date={date}
utilisateur: dailySales, salesCount, hourlyBreakdown</t>
  </si>
  <si>
    <t>app: chartType='line', showComparison=true
server: monthlySalesEndpoint=/api/business/sales/monthly?month={month}, topProductsEndpoint=/api/business/products/top?period=month
utilisateur: monthlySales, trends, topProducts, comparisonRate</t>
  </si>
  <si>
    <t>app: showTaxDetails=true, allowRefund=true
server: saleDetailsEndpoint=/api/business/sales/{id}
utilisateur: saleId, saleDate, customerInfo, sellerInfo, itemsList</t>
  </si>
  <si>
    <t>app: enableRefund=true, enableCreditNote=true, shareReceipt=true
server: processRefundEndpoint=/api/business/sales/{id}/refund, sendReceiptEndpoint=/api/business/sales/{id}/receipt/send
utilisateur: refundEligible, modificationHistory, receiptPreview</t>
  </si>
  <si>
    <t>app: filters=['Tous','Fidélité','Inactifs'], customersPerPage=20
server: customersEndpoint=/api/business/customers, customerSearchEndpoint=/api/business/customers/search?q={query}
utilisateur: customerList, searchQuery, filters</t>
  </si>
  <si>
    <t>app: topCustomersCount=10, loyaltyProgramEnabled=true
server: topCustomersEndpoint=/api/business/customers/top, loyaltyProgramEndpoint=/api/business/loyalty
utilisateur: topCustomers, loyaltyPoints, rewards</t>
  </si>
  <si>
    <t>app: editable=true, showStats=true
server: customerDetailsEndpoint=/api/business/customers/{id}
utilisateur: customerId, contactInfo, purchaseStats, preferences</t>
  </si>
  <si>
    <t>app: showSuggestions=true, historyMonths=6
server: customerHistoryEndpoint=/api/business/customers/{id}/history, customerSuggestionsEndpoint=/api/business/customers/{id}/suggestions
utilisateur: transactionHistory, frequentProducts, buyingPatterns</t>
  </si>
  <si>
    <t>app: roles=['Vendeur','Manager','Admin'], showPresence=true
server: employeesEndpoint=/api/business/employees
utilisateur: employeeList, roles, activeStatus, lastActivity</t>
  </si>
  <si>
    <t>app: modules=['Caisse','Stock','Clients','Rapports'], trackPerformance=true
server: employeePermissionsEndpoint=/api/business/employees/{id}/permissions, employeePerformanceEndpoint=/api/business/employees/{id}/performance
utilisateur: permissions, workSchedule, salesPerformance</t>
  </si>
  <si>
    <t>app: roles=['Vendeur','Manager','Admin'], departments=['Ventes','Caisse','Direction']
server: addEmployeeEndpoint=/api/business/employees/add
utilisateur: employeeName, contact, role, department, loginCredentials</t>
  </si>
  <si>
    <t>app: modules=['Caisse','Stock','Clients','Rapports'], limitsEnabled=true
server: (suite endpoint add)
utilisateur: permissions, moduleAccess, limits, accessAlerts</t>
  </si>
  <si>
    <t>app: reportTypes=['Ventes','Stocks','Clients','Employés'], exportFormats=['PDF','Excel']
server: generateReportEndpoint=/api/business/reports/generate?type={type}&amp;period={period}
utilisateur: reportType, dateRange, availableReports</t>
  </si>
  <si>
    <t>app: chartTypes=['line','bar','pie'], shareEnabled=true
server: reportDataEndpoint=/api/business/reports/data?id={id}
utilisateur: reportData, charts, comparisons, exportFormat</t>
  </si>
  <si>
    <t>app: categories=['Achats','Loyer','Salaires','Marketing'], summaryChart='pie'
server: expensesEndpoint=/api/business/expenses, expenseCategoriesEndpoint=/api/business/expenses/categories
utilisateur: expenseList, categorySummary, dateFilter</t>
  </si>
  <si>
    <t>app: showForecast=true, budgetAlertsEnabled=true
server: expenseAnalysisEndpoint=/api/business/expenses/analysis, budgetEndpoint=/api/business/budget
utilisateur: expenseAnalysis, categoryCharts, trends, budgetAlerts</t>
  </si>
  <si>
    <t>app: paymentMethods=['Espèces','Carte','Virement'], categories=['Achats','Loyer','Salaires','Marketing']
server: addExpenseEndpoint=/api/business/expenses/add
utilisateur: expenseCategory, amount, date, description, paymentMethod</t>
  </si>
  <si>
    <t>app: requireReceipt=true, approvalWorkflow=true
server: uploadReceiptEndpoint=/api/upload/receipt
utilisateur: receipt, notes, approvalRequired, workflow</t>
  </si>
  <si>
    <t>app: editable=true, requiredFields=['name','address','rc','niu']
server: businessInfoEndpoint=/api/business/info, updateBusinessEndpoint=/api/business/update
utilisateur: businessInfo, legalInfo, contact, logo</t>
  </si>
  <si>
    <t>app: taxRates=[18,5,0], currencies=['FCFA','EUR','USD'], themes=['clair','sombre']
server: configEndpoint=/api/business/config
utilisateur: taxSettings, currency, paymentMethods, displayPrefs</t>
  </si>
  <si>
    <t>app: types=['alerte','info','action'], markAllRead=true
server: notificationsEndpoint=/api/business/notifications, markAsReadEndpoint=/api/business/notifications/read
utilisateur: notifications, unreadCount, notificationTypes</t>
  </si>
  <si>
    <t>app: channels=['email','sms','in-app'], thresholds=['stock:5','cash:100000']
server: notificationSettingsEndpoint=/api/business/notifications/settings
utilisateur: notificationSettings, channels, alertThresholds, dailyDigest</t>
  </si>
  <si>
    <t>app: categories=['Général','Comptes','Paiements','Technique']
server: faqEndpoint=/api/support/faq, popularArticlesEndpoint=/api/support/popular
utilisateur: faqCategories, searchQuery, popularArticles</t>
  </si>
  <si>
    <t>app: liveChatAvailable=true, ticketSystem=true
server: submitTicketEndpoint=/api/support/ticket, ticketHistoryEndpoint=/api/support/tickets
utilisateur: contactForm, liveChat, supportHistory, ticketStatus</t>
  </si>
  <si>
    <t>app: editable=true, avatarEnabled=true
server: userProfileEndpoint=/api/user/profile, updateProfileEndpoint=/api/user/update
utilisateur: userProfile, personalInfo, role, permissions</t>
  </si>
  <si>
    <t>app: passwordMinLength=8, 2FAEnabled=true
server: changePasswordEndpoint=/api/user/password, enable2FAEndpoint=/api/user/2fa, sessionsEndpoint=/api/user/sessions
utilisateur: password, 2FA, activeSessions, loginHistory</t>
  </si>
  <si>
    <t>app: metrics=['CA','Nb ventes','Clients'], charts=['line','bar']
server: statisticsEndpoint=/api/business/statistics, exportDataEndpoint=/api/business/statistics/export
utilisateur: keyMetrics, mainCharts, dataExport</t>
  </si>
  <si>
    <t>app: enableForecast=true, customReports=true
server: advancedStatsEndpoint=/api/business/statistics/advanced, forecastEndpoint=/api/business/forecast
utilisateur: crossAnalysis, forecasts, customComparisons, customReports</t>
  </si>
  <si>
    <t>app: qrSize=200, customization=['color','logo']
server: generateBusinessQREndpoint=/api/business/qr/business, generateProductQREndpoint=/api/business/qr/product/{id}
utilisateur: businessQR, productQRs, customization</t>
  </si>
  <si>
    <t>app: showQRPayments=true, periodAnalysis=true
server: qrStatsEndpoint=/api/business/qr/stats
utilisateur: scanStats, usageRate, qrPayments, periodAnalysis</t>
  </si>
  <si>
    <t>app: defaultPointsPerAmount=1, defaultAmountPerPoint=100
server: loyaltyConfigEndpoint=/api/business/loyalty/config, updateLoyaltyEndpoint=/api/business/loyalty/update
utilisateur: loyaltyRules, pointsPerPurchase, rewardThresholds, rewards</t>
  </si>
  <si>
    <t>app: topCustomersCount=10, showParticipationRate=true
server: loyaltyStatsEndpoint=/api/business/loyalty/stats
utilisateur: topLoyaltyCustomers, accumulatedPoints, awardedRewards, participationRate</t>
  </si>
  <si>
    <t>app: quickActions=['Dépôt','Retrait','Transfert','Factures'], cashThresholdAlert=50000
server: agentDashboardEndpoint=/api/agent/dashboard, agentTransactionsEndpoint=/api/agent/transactions/recent
utilisateur: agentId, cashBalance, dailyTransactions, commissionEarned, lowBalanceAlert</t>
  </si>
  <si>
    <t>Écran d'authentification par code PIN conçu en Flutter avec un clavier numérique personnalisé. Structure :  - AppBar transparente avec titre 'Authentification'  - Zone de saisie PIN avec 6 cercles indiquant la saisie  - Clavier numérique personnalisé (Widget GridView)  - Bouton de suppression (Backspace) en bas à droite  - Gestion d'état avec Provider pour vérifier le PIN</t>
  </si>
  <si>
    <t>Écran d'authentification biométrique + PIN en Flutter. Structure :  - AppBar avec titre  - Zone de saisie PIN  - Clavier numérique  - Bouton d'empreinte digitale (IconButton avec icône fingerprint) à droite du clavier  - Détection automatique des capacités biométriques via local_auth  - Fallback vers PIN si biométrie non disponible</t>
  </si>
  <si>
    <t>Page acceuil
- Sur chaque fenetre de l'app il ya un padding de 2px  entre le body de l'app et les bords du telephone
1- Section1 : Header niveau1
   1-a- Bouton de paramètre en haut à gauche (icon)
   1-b- Bouton de selection du compte utilisateur
2- Section2 : Header niveau2 en dessous de Section1
     Montant du Solde est visible suivi du symbole de la monnaie suivi d'une icone pour activer ou desactiver la visibilité du Monant du solde
3- Section3 : Box en dessous de Section2 et 
     Box1 rectangulaire bleu avec à l'interieur box2 contenant en noir sur fond blanc, le userAppQRCode et le mot "Scanner" precedé d'une icone d'appreil photo
4- Section4 : Box en dessous de Section3
     Boutons des services listés en ligne. 4 Boutons par ligne
     Chaque bouton est une icone circulaire avec le nom du service en dessous
5- Section5 : Box en dessous de Section4
     Liste l'historique des transactions
     Chaque ligne de transaction contient : 
         - Sous-ligne1: 
                -- (Aligner à gauche)  Nom du destinaire suivi de son numero (account_id)
                -- (Aligner à droite)  Montant de la transaction suivi du symbole de la monnaie
         - Sous-ligne2: 
               -- (Aligner à gauche)  Date et Heure sous le format (11 fevr. 2026, 19:16)</t>
  </si>
  <si>
    <t>Page d'accueil principale développée en Flutter avec architecture à sections. Structure :  - SafeArea avec padding 2px  - Section1 (Header) : Row avec IconButton paramètres et DropdownButton pour sélection de compte  - Section2 (Balance) : Container avec Text solde, Text devise, IconButton toggle visibilité  - Section3 (QR/Scanner) : Stack avec BoxDecoration bleue, Container blanc pour QR code, Row avec Icône caméra + Text 'Scanner'  - Section4 (Services) : GridView.count(crossAxisCount=4) avec CircleAvatar icônes et Text en colonne  - Section5 (Transactions) : ListView.builder avec Column pour chaque ligne (2 sous-lignes en Row avec MainAxisAlignment.spaceBetween)</t>
  </si>
  <si>
    <t xml:space="preserve">
1-b-Bouton de selection du type de compte/profil  userProfilType (Personal and Business) en haut à droite (Icon)
5- Section5 : 
     Liste l'historique des transactions
     Ajouter à Chaque ligne de transaction : transaction_type_icon
         - Sous-ligne1: 
                -- (Aligner à gauche)  Icon du type de transaction (transaction_type_icon) suivi de Nom du destinaire suivi de son numero (account_id)
                 transaction_type_icon : 
                        - icon panier d'achat = transaction de type achat
                        - icon flèches haut = transaction de type envoi d'argent
                        - icon flèches bas = transaction de type reception d'argent
         - Sous-ligne2: 
               -- (Aligner à gauche)  Date et Heure sous le format (11 fevr. 2026, 19:16)</t>
  </si>
  <si>
    <t>Fenetre qui affiche la liste complete de l'historique des toutes les transactions de l'utilisateur lorsqu'il clique sur le bouton de recherche dans MainWindow_TransactionsHistory-Section5
1- Section2 : Header niveau1 
     Box Header de la fenetre TransactionsHistoryWindows contenant un bouton de retour a la fenetre precedente
2- Section2 : Box en dessous de Section2 et 
     Searchbox ou champ de recherche
3- Section3 : Box en dessous de Section2
     Boutons des produits ou services listés en ligne
4- Section4 : Box en dessous de Section3
     Liste l'historique des transactions
     Chaque ligne de transaction contient : 
         - Sous-ligne1: 
                -- (Aligner à gauche)  Nom du destinaire suivi de son numero (account_id)
                -- (Aligner à droite)  Montant de la transaction suivi du symbole de la monnaie
         - Sous-ligne2: 
               -- (Aligner à gauche)  Date et Heure sous le format (11 fevr. 2026, 19:16)</t>
  </si>
  <si>
    <t>Écran d'historique complet des transactions en Flutter. Structure :  - AppBar avec titre 'Historique' et bouton retour  - SearchBar avec TextField et icône de recherche  - Section filtres : Wrap ou SingleChildScrollView horizontal avec des boutons filtres (Achat, Transfer, Mobile Money, etc.)  - Liste paginée : ListView.builder avec rafraîchissement (RefreshIndicator) et pagination infinie  - Chaque transaction : Card ou Container avec Column &gt; 2 Rows en spaceBetween</t>
  </si>
  <si>
    <t>Fenêtre de saisie du bénéficiaire pour un transfert d'argent
1- Section1 : Header avec titre "Nouveau transfert" et bouton de retour
2- Section2 : Formulaire de saisie
    - Champ "Numéro du bénéficiaire" avec indicatif téléphonique pré-rempli
    - Icône de carnet d'adresses à droite du champ
3- Section3 : Bouton "Continuer" en bas de l'écran (grisé tant que le champ est vide)
4- Section4 : Message d'aide "Saisissez le numéro du destinataire"</t>
  </si>
  <si>
    <t>Écran de saisie du bénéficiaire en Flutter. Structure :  - AppBar avec titre 'Nouveau transfert' et bouton retour  - Formulaire avec TextFormField pour téléphone, décoré d'un DropdownButton pour indicatif pays et d'un IconButton pour contacts  - Validation en temps réel avec Form et GlobalKey  - Bouton 'Continuer' (ElevatedButton) activé uniquement quand le champ est valide  - HelperText sous le champ</t>
  </si>
  <si>
    <t>Fenêtre de saisie du montant à transférer
1- Section1 : Header avec titre "Montant" et bouton de retour
2- Section2 : Récapitulatif du bénéficiaire
    - Nom du bénéficiaire et numéro (format +225 XX XX XX XX)
3- Section3 : Zone de saisie du montant
    - Champ de saisie avec le symbole de la monnaie (FCFA)
    - Clavier numérique à l'écran
4- Section4 : Bouton "Suivant" en bas (activé quand montant &gt; 0)
5- Section5 : Message d'information sur les frais éventuels</t>
  </si>
  <si>
    <t>Écran de saisie du montant. Structure :  - AppBar avec titre 'Montant'  - Container avec infos bénéficiaire (nom + téléphone formaté)  - TextFormField avec préfixe 'FCFA' et clavier numérique  - Affichage dynamique des frais (calculés en temps réel)  - Bouton 'Suivant' activé si montant &gt; 0 et dans limites</t>
  </si>
  <si>
    <t>Fenêtre de confirmation des détails du transfert
1- Section1 : Header avec titre "Confirmation" et bouton de retour
2- Section2 : Récapitulatif détaillé
    - Bénéficiaire : Nom et numéro complet
    - Montant : Montant saisi + symbole monnaie
    - Frais : Montant des frais
    - Total : Montant total débité
3- Section3 : Bouton "Confirmer" en bas
4- Section4 : Message "Vérifiez les informations avant de confirmer"</t>
  </si>
  <si>
    <t>Écran de confirmation. Structure :  - AppBar avec titre 'Confirmation'  - Carte récapitulative avec Column de Rows label/valeur  - Mise en évidence du total (gras, couleur primaire)  - Bouton 'Confirmer' (ElevatedButton)  - Message d'avertissement en texte secondaire</t>
  </si>
  <si>
    <t>Fenêtre de confirmation de réussite du transfert
1- Section1 : Header avec titre "Succès" et bouton de retour
2- Section2 : Icône de succès (coche verte) au centre
3- Section3 : Message de confirmation
    - "Transfert effectué avec succès"
    - Montant transféré
    - Bénéficiaire
4- Section4 : Boutons d'action
    - "Nouveau transfert"
    - "Retour à l'accueil"
5- Section5 : Option de partage du reçu</t>
  </si>
  <si>
    <t>Écran de succès. Structure :  - AppBar avec titre 'Succès'  - Icône Icons.check_circle (couleur verte, taille 80)  - Textes de confirmation  - Deux boutons horizontaux (OutlinedButton et ElevatedButton)  - Bouton de partage (IconButton) pour le reçu</t>
  </si>
  <si>
    <t>Fenêtre de sélection de catégorie de factures
1- Section1 : Header avec titre "Factures" et bouton de retour
2- Section2 : Barre de recherche
3- Section3 : Liste des catégories de factures
    - Électricité avec icône
    - Eau avec icône
    - Téléphone/Internet avec icône
    - Scolarité avec icône
4- Section4 : Factures récentes ou enregistrées</t>
  </si>
  <si>
    <t>Écran de catégories de factures. Structure :  - AppBar avec titre 'Factures'  - SearchBar  - GridView.count(crossAxisCount=2) de catégories avec Card (icône + texte)  - Section 'Factures récentes' avec ListView horizontale</t>
  </si>
  <si>
    <t>Fenêtre de sélection du fournisseur de service
1- Section1 : Header avec titre "Choisir le fournisseur" et bouton de retour
2- Section2 : Indication de la catégorie sélectionnée (ex: "Électricité")
3- Section3 : Liste des fournisseurs disponibles
    - CIE (Côte d'Ivoire)
    - SODECI (Côte d'Ivoire)
    - Autres fournisseurs selon le pays
4- Section4 : Champ de recherche rapide</t>
  </si>
  <si>
    <t>Écran de sélection de fournisseur. Structure :  - AppBar avec titre  - Chip ou Text affichant la catégorie sélectionnée  - SearchBar  - ListView.builder de fournisseurs avec ListTile (logo/icône, nom, indicatif pays)</t>
  </si>
  <si>
    <t>Fenêtre de saisie du numéro de contrat/client pour la facture
1- Section1 : Header avec titre "Numéro de contrat" et bouton de retour
2- Section2 : Rappel du fournisseur sélectionné (ex: "CIE")
3- Section3 : Champ de saisie du numéro de contrat
    - Format attendu (ex: "12345678")
    - Clavier numérique
4- Section4 : Bouton "Vérifier" en bas
5- Section5 : Message d'aide "Trouvez ce numéro sur votre facture"</t>
  </si>
  <si>
    <t>Écran de saisie du numéro de contrat. Structure :  - AppBar  - Container avec logo/nom fournisseur  - TextFormField avec clavier numérique, hint 'Ex: 12345678'  - HelperText explicatif  - Bouton 'Vérifier' (activé si longueur minimale atteinte)</t>
  </si>
  <si>
    <t>Fenêtre affichant le montant de la facture à payer
1- Section1 : Header avec titre "Montant à payer" et bouton de retour
2- Section2 : Récapitulatif client/fournisseur
    - Fournisseur : CIE
    - Numéro contrat : 12345678
3- Section3 : Montant dû mis en évidence
    - Montant total en gros caractères
    - Date d'échéance
4- Section4 : Bouton "Payer" en bas
5- Section5 : Option "Payer partiellement" si disponible</t>
  </si>
  <si>
    <t>Écran d'affichage du montant dû. Structure :  - AppBar  - Récapitulatif fournisseur/contrat  - Container avec montant en très grands caractères  - Date d'échéance avec alerte si proche  - Bouton 'Payer' (ElevatedButton)  - Option 'Payer partiellement' (TextButton) si disponible</t>
  </si>
  <si>
    <t>Fenêtre de confirmation de paiement de facture
1- Section1 : Header avec titre "Confirmation" et bouton de retour
2- Section2 : Récapitulatif complet
    - Fournisseur
    - Numéro de contrat
    - Montant payé
    - Frais éventuels
3- Section3 : Bouton "Confirmer le paiement"
4- Section4 : Case à cocher "Enregistrer ce contrat pour plus tard"</t>
  </si>
  <si>
    <t>Écran de confirmation de paiement. Structure :  - AppBar  - Carte récapitulative avec détails  - CheckboxListTile pour enregistrer le contrat  - Bouton 'Confirmer'</t>
  </si>
  <si>
    <t>Fenêtre de confirmation de paiement de facture réussi
1- Section1 : Header avec titre "Paiement effectué" et bouton de retour
2- Section2 : Icône de succès (coche verte)
3- Section3 : Message de confirmation
    - "Facture payée avec succès"
    - Référence de transaction
    - Montant payé
4- Section4 : Boutons d'action
    - "Voir la facture"
    - "Payer une autre facture"
    - "Retour à l'accueil"
5- Section5 : Option de téléchargement du reçu</t>
  </si>
  <si>
    <t>Fenêtre d'historique des factures payées
1- Section1 : Header avec titre "Historique des factures" et bouton de retour
2- Section2 : Filtres rapides
    - "Tous", "Électricité", "Eau", "Télécom"
3- Section3 : Liste chronologique des factures payées
    - Chaque ligne : Fournisseur, montant, date de paiement, statut "Payé"
4- Section4 : Option de recherche par période</t>
  </si>
  <si>
    <t>Fenêtre des services d'abonnement disponibles
1- Section1 : Header avec titre "Abonnements" et bouton de retour
2- Section2 : Liste des abonnements disponibles par catégorie
    - Streaming : Netflix, Spotify, Canal+
    - Internet : Box, Pass data
    - Téléphonie : Forfaits GSM
3- Section3 : Abonnements actifs de l'utilisateur</t>
  </si>
  <si>
    <t>Écran des abonnements. Structure :  - AppBar  - Sections par catégorie avec ExpansionTile ou titres  - Grille de services par catégorie  - Section 'Mes abonnements actifs' en haut ou en bas</t>
  </si>
  <si>
    <t>Fenêtre des détails d'un abonnement spécifique
1- Section1 : Header avec titre "Détails abonnement" et bouton de retour
2- Section2 : Logo et nom du service
3- Section3 : Offres disponibles
    - Forfait mensuel : prix
    - Forfait trimestriel : prix (avec économie)
    - Forfait annuel : prix (avec économie)
4- Section4 : Bouton "S'abonner" pour chaque offre</t>
  </si>
  <si>
    <t>Écran détail abonnement. Structure :  - AppBar  - En-tête avec logo et nom service  - Liste des forfaits avec Card contenant: nom forfait, prix, économie (badge), bouton 'S'abonner'  - Highlight sur forfait recommandé</t>
  </si>
  <si>
    <t>Fenêtre de confirmation d'abonnement
1- Section1 : Header avec titre "Confirmation abonnement" et bouton de retour
2- Section2 : Récapitulatif
    - Service : Netflix
    - Forfait : Mensuel
    - Prix : 8 500 FCFA/mois
    - Prochain prélèvement : date
3- Section3 : Bouton "Confirmer l'abonnement"
4- Section4 : Case à cocher "Activer le renouvellement automatique"</t>
  </si>
  <si>
    <t>Écran confirmation abonnement. Structure :  - AppBar  - Carte récapitulative avec détails  - Checkbox pour renouvellement auto  - Bouton confirmation</t>
  </si>
  <si>
    <t>Fenêtre de confirmation d'abonnement réussi
1- Section1 : Header avec titre "Abonnement activé" et bouton de retour
2- Section2 : Icône de succès
3- Section3 : Message de confirmation
    - "Votre abonnement a été activé"
    - Service et forfait
    - Date de début
4- Section4 : Boutons d'action
    - "Gérer mon abonnement"
    - "Autres services"
    - "Retour à l'accueil"</t>
  </si>
  <si>
    <t>Tableau de bord principal version Business  - Vue d'ensemble avec graphiques
1- Section1 : Header avec sélecteur de compte "Business" et notifications
2- Section2 : Résumé financier (CA jour, CA mois, nb transactions)
3- Section3 : Graphiques d'activité  - Vue mensuelle
4- Section4 : Transactions récentes (5 dernières)
5- Section5 : Accès rapide aux fonctions principales</t>
  </si>
  <si>
    <t>Dashboard professionnel Flutter avec :  - AppBar avec DropdownButton pour comptes multiples  - 3 cartes KPI en Row avec Expanded  - Graphique line chart (fl_chart) pour CA mensuel  - Liste récentes transactions  - GridView de 4 boutons d'action rapide</t>
  </si>
  <si>
    <t>Tableau de bord principal version Business  - Vue alternative avec focus ventes
1- Section1 : Header avec alertes et profil
2- Section2 : KPI principaux (CA, panier moyen, taux de conversion)
3- Section3 : Graphiques de ventes par catégorie
4- Section4 : Produits les plus vendus
5- Section5 : Notifications et alertes</t>
  </si>
  <si>
    <t>Dashboard alternatif avec :  - AppBar avec icône notifications et avatar  - 3 KPI différents  - Pie chart ou bar chart par catégorie  - Liste top produits avec barres de progression  - Alertes en bas</t>
  </si>
  <si>
    <t>Gestion des produits  - Vue liste avec filtres
1- Section1 : Header avec titre "Produits" et bouton "Ajouter"
2- Section2 : Barre de recherche et filtres par catégorie
3- Section3 : Liste paginée des produits avec image, nom, prix, stock
4- Section4 : Actions rapides (modifier, dupliquer, archiver)</t>
  </si>
  <si>
    <t>Gestion produits Flutter :  - AppBar avec titre et bouton ajout (FloatingActionButton)  - SearchBar et chips catégories  - ListView avec produits (image, nom, prix, stock, icônes actions)  - Pull to refresh</t>
  </si>
  <si>
    <t>Gestion des produits  - Vue avec alertes stock
1- Section1 : Alertes de stock bas mises en évidence
2- Section2 : Liste des produits avec indicateurs de performance
3- Section3 : Produits en rupture
4- Section4 : Boutons de réapprovisionnement rapide</t>
  </si>
  <si>
    <t>Même liste mais avec section alertes en haut :  - Banner ou carte pour stock bas  - Indicateurs colorés sur lignes (rouge si stock &lt; seuil)  - Section séparée pour ruptures  - Boutons 'Réapprovisionner' rapides</t>
  </si>
  <si>
    <t>Ajout produit  - Formulaire principal
1- Section1 : Header "Nouveau produit"
2- Section2 : Informations de base (nom, description, catégorie)
3- Section3 : Prix et stock (prix d'achat, prix vente, stock initial)
4- Section4 : Boutons "Enregistrer" et "Annuler"</t>
  </si>
  <si>
    <t>Formulaire ajout produit Flutter :  - AppBar avec titre  - Form avec TextFormField pour nom, description  - Dropdown pour catégorie  - 2 champs prix (achat/vente)  - Champ stock initial  - Row de boutons</t>
  </si>
  <si>
    <t>Ajout produit  - Section avancée
1- Section1 : Options avancées (code-barres, SKU)
2- Section2 : Images du produit (upload)
3- Section3 : Variantes (taille, couleur) si applicable
4- Section4 : Taxes et remises</t>
  </si>
  <si>
    <t>Version avec onglets ou section extensible pour options avancées :  - Champs SKU, code-barres  - Upload images (plusieurs)  - Gestion variantes (expansion panel)  - Taxes et remises</t>
  </si>
  <si>
    <t>Gestion des stocks  - Vue d'ensemble
1- Section1 : Header "Stock" avec indicateurs
2- Section2 : Alertes de stock bas (produits à réapprovisionner)
3- Section3 : Liste des stocks par emplacement
4- Section4 : Historique des mouvements récents</t>
  </si>
  <si>
    <t>Gestion stocks :  - AppBar avec titre et indicateur valeur totale  - Alertes en haut  - Liste par emplacement/dépôt  - Derniers mouvements en bas</t>
  </si>
  <si>
    <t>Gestion des stocks  - Vue par produit
1- Section1 : Recherche de produit
2- Section2 : Détail stock pour un produit spécifique
3- Section3 : Historique des entrées/sorties
4- Section4 : Seuils de réapprovisionnement</t>
  </si>
  <si>
    <t>Focus sur un produit :  - SearchBar pour sélectionner produit  - Carte détail stock actuel  - Timeline mouvements  - Configuration seuil</t>
  </si>
  <si>
    <t>Ajustement de stock  - Ajustement positif
1- Section1 : Header "Ajuster le stock"
2- Section2 : Produit concerné et stock actuel
3- Section3 : Nouvelle quantité (augmentation)
4- Section4 : Motif (réapprovisionnement, retour fournisseur)
5- Section5 : Validation</t>
  </si>
  <si>
    <t>Ajustement hausse :  - Affichage produit  - Stock actuel mis en évidence  - Champ quantité avec + par défaut  - Dropdown motifs  - Bouton validation</t>
  </si>
  <si>
    <t>Ajustement de stock  - Ajustement négatif
1- Section1 : Produit et stock actuel
2- Section2 : Nouvelle quantité (diminution)
3- Section3 : Motif (casse, perte, retour client)
4- Section4 : Notes et justificatif
5- Section5 : Confirmation</t>
  </si>
  <si>
    <t>Ajustement baisse :  - Similaire mais motifs différents  - Champ notes  - Option justificatif (photo)  - Alerte si stock final &lt; seuil</t>
  </si>
  <si>
    <t>Point de vente  - Vue caisse principale
1- Section1 : Header "Caisse" avec vendeur
2- Section2 : Panier en cours avec produits
3- Section3 : Scan code-barres
4- Section4 : Total et options de paiement
5- Section5 : Touches rapides (montants fréquents)</t>
  </si>
  <si>
    <t>Interface caisse Flutter :  - AppBar avec vendeur et heure  - Liste panier (produits, quantités, prix, supprimer)  - Champ scan avec focus automatique  - Total en bas avec boutons paiement  - Quick keys (1000,5000,10000)</t>
  </si>
  <si>
    <t>Point de vente  - Paiement en cours
1- Section1 : Récapitulatif de la vente
2- Section2 : Sélection du mode de paiement
3- Section3 : Saisie du montant reçu
4- Section4 : Calcul de la monnaie à rendre
5- Section5 : Validation et impression ticket</t>
  </si>
  <si>
    <t>Écran paiement :  - Récapitulatif vente  - Boutons modes paiement (espèces, carte, mobile money)  - Champ montant reçu (si espèces)  - Calcul auto monnaie  - Bouton valider + option impression</t>
  </si>
  <si>
    <t>Historique ventes  - Vue journalière
1- Section1 : Header "Ventes" avec date du jour
2- Section2 : Résumé de la journée (nb ventes, CA)
3- Section3 : Liste des ventes du jour
4- Section4 : Détail par heure</t>
  </si>
  <si>
    <t>Historique journalier :  - Date picker en haut  - 2 indicateurs (nb ventes, CA)  - Liste ventes avec heure, montant, mode  - Graphique horaire en option</t>
  </si>
  <si>
    <t>Historique ventes  - Vue mensuelle
1- Section1 : Sélecteur de mois
2- Section2 : Graphique d'évolution mensuelle
3- Section3 : Top ventes du mois
4- Section4 : Comparaison mois précédent</t>
  </si>
  <si>
    <t>Vue mensuelle :  - Mois sélectionnable  - Line chart évolution  - Top produits avec pourcentages  - Comparaison en pourcentage</t>
  </si>
  <si>
    <t>Détail vente  - Informations générales
1- Section1 : Référence et date
2- Section2 : Client et vendeur
3- Section3 : Liste des produits
4- Section4 : Sous-total, taxes, total
5- Section5 : Statut du paiement</t>
  </si>
  <si>
    <t>Détail vente :  - En-tête avec référence, date  - Infos client/vendeur  - Liste produits avec quantités  - Totaux détaillés  - Badge statut</t>
  </si>
  <si>
    <t>Détail vente  - Actions et historique
1- Section1 : Actions possibles (remboursement, avoir)
2- Section2 : Historique des modifications
3- Section3 : Ticket de caisse (aperçu)
4- Section4 : Envoyer par email/SMS</t>
  </si>
  <si>
    <t>Actions post-vente :  - Boutons action (remboursement, avoir)  - Timeline modifications  - Aperçu ticket  - Partage</t>
  </si>
  <si>
    <t>Gestion clients  - Liste principale
1- Section1 : Header "Clients" et bouton "Ajouter"
2- Section2 : Barre de recherche
3- Section3 : Liste clients avec nom, téléphone, total achats
4- Section4 : Filtres (fidélité, inactifs)</t>
  </si>
  <si>
    <t>Gestion clients :  - AppBar avec titre et bouton ajout  - SearchBar  - Liste clients (avatar, nom, téléphone, total)  - Chips filtres</t>
  </si>
  <si>
    <t>Gestion clients  - Vue fidélité
1- Section1 : Top clients (par montant d'achat)
2- Section2 : Programme de fidélité
3- Section3 : Points cumulés par client
4- Section4 : Récompenses disponibles</t>
  </si>
  <si>
    <t>Focus fidélité :  - Top 10 clients  - Carte programme fidélité (points, règles)  - Liste clients avec points  - Récompenses dispo</t>
  </si>
  <si>
    <t>Détail client  - Informations personnelles
1- Section1 : Header avec nom client
2- Section2 : Coordonnées (téléphone, email, adresse)
3- Section3 : Statistiques (total achats, nb commandes)
4- Section4 : Préférences et notes</t>
  </si>
  <si>
    <t>Détail client :  - AppBar avec nom  - Infos contact  - Statistiques cartes  - Notes/ préférences</t>
  </si>
  <si>
    <t>Détail client  - Historique achats
1- Section1 : Historique des transactions
2- Section2 : Produits fréquemment achetés
3- Section3 : Périodes d'achat
4- Section4 : Prochaines actions suggérées</t>
  </si>
  <si>
    <t>Historique client :  - Liste achats récents  - Nuage ou liste produits favoris  - Graphique achats par mois  - Suggestions (relance, offre)</t>
  </si>
  <si>
    <t>Gestion employés  - Liste
1- Section1 : Header "Équipe" et bouton "Ajouter"
2- Section2 : Liste des employés avec rôle
3- Section3 : Statut (actif/présent)
4- Section4 : Dernière activité</t>
  </si>
  <si>
    <t>Gestion employés :  - AppBar avec titre et ajout  - Liste employés (avatar, nom, rôle)  - Indicateurs présence  - Dernière activité</t>
  </si>
  <si>
    <t>Gestion employés  - Permissions
1- Section1 : Employé sélectionné
2- Section2 : Droits d'accès par module
3- Section3 : Horaires de travail
4- Section4 : Performance (ventes par employé)</t>
  </si>
  <si>
    <t>Permissions employé :  - Sélecteur employé  - Grille permissions par module  - Configuration horaires  - Stats performance</t>
  </si>
  <si>
    <t>Ajout employé  - Informations
1- Section1 : Header "Nouvel employé"
2- Section2 : Informations personnelles (nom, téléphone, email)
3- Section3 : Rôle et département
4- Section4 : Identifiants de connexion</t>
  </si>
  <si>
    <t>Formulaire ajout employé :  - Champs nom, téléphone, email  - Dropdown rôle, département  - Section login (email, mot de passe)</t>
  </si>
  <si>
    <t>Ajout employé  - Permissions
1- Section1 : Attribution des permissions
2- Section2 : Accès aux modules
3- Section3 : Limites et plafonds
4- Section4 : Notification des accès</t>
  </si>
  <si>
    <t>Configuration permissions :  - Checkbox par module  - Limites (montant max vente, etc.)  - Alertes accès</t>
  </si>
  <si>
    <t>Rapports  - Sélection
1- Section1 : Header "Rapports"
2- Section2 : Types de rapports (ventes, stocks, clients)
3- Section3 : Sélecteur de période
4- Section4 : Options d'export</t>
  </si>
  <si>
    <t>Menu rapports :  - 3+ cartes types rapports  - Date range picker  - Boutons export (PDF, Excel)</t>
  </si>
  <si>
    <t>Rapports  - Visualisation
1- Section1 : Graphiques et indicateurs
2- Section2 : Tableaux de données
3- Section3 : Comparaisons
4- Section4 : Export et partage</t>
  </si>
  <si>
    <t>Visualisation rapport :  - Graphiques (line/bar/pie)  - Tableau données  - Section comparaison  - Boutons export</t>
  </si>
  <si>
    <t>Gestion dépenses  - Liste
1- Section1 : Header "Dépenses" et bouton "Ajouter"
2- Section2 : Résumé par catégorie
3- Section3 : Liste chronologique
4- Section4 : Filtres</t>
  </si>
  <si>
    <t>Gestion dépenses :  - AppBar titre + ajout  - Graphique camembert ou barres par catégorie  - Liste dépenses avec montant, catégorie, date  - Filtres période/catégorie</t>
  </si>
  <si>
    <t>Gestion dépenses  - Analyse
1- Section1 : Graphiques par catégorie
2- Section2 : Évolution dans le temps
3- Section3 : Dépenses vs prévisions
4- Section4 : Alertes de dépassement</t>
  </si>
  <si>
    <t>Analyse dépenses :  - Graphiques détaillés  - Line chart évolution  - Comparaison budget  - Alertes</t>
  </si>
  <si>
    <t>Ajout dépense  - Informations
1- Section1 : Header "Nouvelle dépense"
2- Section2 : Catégorie, montant, date
3- Section3 : Description
4- Section4 : Mode de paiement</t>
  </si>
  <si>
    <t>Formulaire dépense :  - Dropdown catégorie  - Champ montant  - Date picker  - Champ description  - Mode paiement</t>
  </si>
  <si>
    <t>Ajout dépense  - Justificatif
1- Section1 : Upload de justificatif
2- Section2 : Notes supplémentaires
3- Section3 : Validation et approbation
4- Section4 : Déclenchement workflow</t>
  </si>
  <si>
    <t>Version avec justificatif :  - Upload image/PDF  - Notes  - Checkbox approbation  - Workflow</t>
  </si>
  <si>
    <t>Paramètres  - Informations entreprise
1- Section1 : Header "Paramètres"
2- Section2 : Informations légales (nom, adresse, RC, NIU)
3- Section3 : Coordonnées
4- Section4 : Logo et image</t>
  </si>
  <si>
    <t>Paramètres entreprise :  - Formulaire infos légales  - Champs coordonnées  - Upload logo</t>
  </si>
  <si>
    <t>Paramètres  - Configuration
1- Section1 : Taxes et devises
2- Section2 : Modes de paiement acceptés
3- Section3 : Préférences d'affichage
4- Section4 : Sauvegarde</t>
  </si>
  <si>
    <t>Configuration :  - Taux TVA, autres taxes  - Devise par défaut  - Modes paiement activés  - Thème, langue</t>
  </si>
  <si>
    <t>Notifications  - Liste
1- Section1 : Header "Notifications"
2- Section2 : Liste chronologique
3- Section3 : Types (alertes, informations, actions)
4- Section4 : Statut (lues/non lues)</t>
  </si>
  <si>
    <t>Centre notifications :  - AppBar avec titre et marquer tout lu  - Liste notifs avec icône type, message, date  - Badge non lu  - Filtres</t>
  </si>
  <si>
    <t>Notifications  - Configuration
1- Section1 : Paramètres de notification
2- Section2 : Canaux (email, SMS, in-app)
3- Section3 : Seuils d'alerte
4- Section4 : Récapitulatif quotidien</t>
  </si>
  <si>
    <t>Configuration notifs :  - Switches par type  - Canaux de réception  - Seuils (stock bas, etc.)  - Résumé quotidien</t>
  </si>
  <si>
    <t>Support  - FAQ
1- Section1 : Header "Aide"
2- Section2 : Catégories FAQ
3- Section3 : Recherche
4- Section4 : Articles populaires</t>
  </si>
  <si>
    <t>FAQ :  - Catégories en chips  - SearchBar  - ExpansionTile par question  - Section articles populaires</t>
  </si>
  <si>
    <t>Support  - Contact
1- Section1 : Formulaire de contact
2- Section2 : Chat en direct
3- Section3 : Historique des demandes
4- Section4 : État des tickets</t>
  </si>
  <si>
    <t>Contact support :  - Formulaire (sujet, message)  - Bouton chat  - Historique tickets  - Statut</t>
  </si>
  <si>
    <t>Profil utilisateur  - Informations
1- Section1 : Header "Mon profil"
2- Section2 : Photo et informations personnelles
3- Section3 : Rôle et permissions
4- Section4 : Préférences</t>
  </si>
  <si>
    <t>Profil :  - Avatar modifiable  - Champs nom, email, téléphone  - Rôle et permissions (lecture seule)  - Préférences (langue, thème)</t>
  </si>
  <si>
    <t>Profil utilisateur  - Sécurité
1- Section1 : Changement de mot de passe
2- Section2 : Double authentification
3- Section3 : Sessions actives
4- Section4 : Historique des connexions</t>
  </si>
  <si>
    <t>Sécurité :  - Formulaire changement mot de passe  - Switch 2FA  - Liste sessions  - Historique connexions</t>
  </si>
  <si>
    <t>Statistiques  - Vue générale
1- Section1 : Header "Statistiques"
2- Section2 : Indicateurs clés
3- Section3 : Graphiques principaux
4- Section4 : Téléchargement des données</t>
  </si>
  <si>
    <t>Stats générales :  - KPI en cartes  - Graphiques évolution  - Bouton export</t>
  </si>
  <si>
    <t>Statistiques  - Analyses détaillées
1- Section1 : Analyses croisées
2- Section2 : Prévisions
3- Section3 : Comparaisons personnalisées
4- Section4 : Rapports sur mesure</t>
  </si>
  <si>
    <t>Analyses avancées :  - Tableaux croisés  - Prévisions ML  - Comparaisons  - Rapports personnalisables</t>
  </si>
  <si>
    <t>QR Codes  - Génération
1- Section1 : Header "QR Codes"
2- Section2 : QR code entreprise
3- Section3 : QR codes par produit
4- Section4 : Personnalisation</t>
  </si>
  <si>
    <t>Génération QR :  - QR code entreprise (grand)  - Liste produits avec QR  - Options couleur, logo</t>
  </si>
  <si>
    <t>QR Codes  - Statistiques
1- Section1 : Nombre de scans
2- Section2 : Taux d'utilisation
3- Section3 : Paiements via QR
4- Section4 : Analyse par période</t>
  </si>
  <si>
    <t>Stats QR :  - Compteurs scans  - Graphique utilisation  - Montants QR  - Filtre période</t>
  </si>
  <si>
    <t>Fidélité  - Configuration
1- Section1 : Header "Fidélité"
2- Section2 : Règles (points par achat)
3- Section3 : Seuils de récompense
4- Section4 : Récompenses disponibles</t>
  </si>
  <si>
    <t>Config fidélité :  - Points par montant (ex: 1pt/100F)  - Seuils (100pts = 1000F)  - Liste récompenses</t>
  </si>
  <si>
    <t>Fidélité  - Suivi clients
1- Section1 : Top clients fidélité
2- Section2 : Points cumulés
3- Section3 : Récompenses attribuées
4- Section4 : Taux de participation</t>
  </si>
  <si>
    <t>Suivi fidélité :  - Classement clients  - Graphique points  - Récompenses données  - % participation</t>
  </si>
  <si>
    <t>Tableau de bord de l'agent
1- Section1 : Header avec identification de l'agent et solde de la caisse
2- Section2 : Actions rapides principales
    - Dépôt d'argent
    - Retrait d'argent
    - Transfert
    - Paiement de factures
3- Section3 : Transactions du jour (montant total, commissions)
4- Section4 : Liste des dernières transactions effectuées
5- Section5 : État de la caisse (solde, seuils)
6- Section6 : Notifications (alertes de seuil, demandes en attente)</t>
  </si>
  <si>
    <t>Dashboard agent Flutter :  - AppBar avec nom agent et solde caisse  - GridView 4 actions rapides (avec icônes)  - 2 cartes stats (volume, commission)  - Liste récentes transactions  - Barre progression seuil caisse  - Alertes</t>
  </si>
  <si>
    <t>Interface d'authentification avec options biométriques. 
 - En haut: logo TipTop Transfer. 
 - Champ de saisie PIN à 4 chiffres avec cercles. 
 - Au centre: clavier numérique avec touches 0-9 arrangées en grille 3x4. 
 - Bouton d'empreinte digitale en bas à droite (remplace le bouton suppression). 
 - Message 'Utilisez votre empreinte digitale ou code PIN'. 
Fond blanc, accents bleus.</t>
  </si>
  <si>
    <t>Interface d'authentification par code PIN à 4 chiffres. 
- En haut: logo TipTop Transfer. 
- Champ de saisie PIN avec 4 cercles vides. 
- Au centre: clavier numérique avec touches 0-9 arrangées en grille 3x4. 
- Bouton de suppression (effacer) en bas à droite du clavier. 
- Fond blanc, texte et accents bleus.</t>
  </si>
  <si>
    <t>DeepseekRaw_UI_Description-Flutter</t>
  </si>
  <si>
    <t>DeepseekRaw_App_Config_variable-Flutter</t>
  </si>
  <si>
    <t>DeepseekRaw_UI_Description-EyeView</t>
  </si>
  <si>
    <t>DeepseekRaw_App_Config_variable-EyeView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</si>
</sst>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1"/>
      <color theme="0"/>
      <name val="Calibri"/>
      <family val="2"/>
      <scheme val="minor"/>
    </font>
    <font>
      <sz val="11"/>
      <name val="Calibri"/>
      <family val="2"/>
      <scheme val="minor"/>
    </font>
    <font>
      <u/>
      <sz val="11"/>
      <color theme="10"/>
      <name val="Calibri"/>
      <family val="2"/>
      <scheme val="minor"/>
    </font>
    <font>
      <sz val="11"/>
      <color rgb="FFF9FAFB"/>
      <name val="Segoe UI"/>
      <family val="2"/>
    </font>
    <font>
      <sz val="11"/>
      <color rgb="FFF9FAFB"/>
      <name val="Segoe UI"/>
      <family val="2"/>
    </font>
    <font>
      <sz val="11"/>
      <color rgb="FFF9FAFB"/>
      <name val="Segoe UI"/>
      <family val="2"/>
    </font>
    <font>
      <sz val="11"/>
      <color theme="1"/>
      <name val="Segoe UI"/>
      <family val="2"/>
    </font>
    <font>
      <sz val="11"/>
      <color theme="1"/>
      <name val="Segoe UI"/>
      <family val="2"/>
    </font>
    <font>
      <sz val="11"/>
      <color theme="1"/>
      <name val="Segoe UI"/>
      <family val="2"/>
    </font>
  </fonts>
  <fills count="5">
    <fill>
      <patternFill patternType="none"/>
    </fill>
    <fill>
      <patternFill patternType="gray125"/>
    </fill>
    <fill>
      <patternFill patternType="solid">
        <fgColor theme="1"/>
        <bgColor indexed="64"/>
      </patternFill>
    </fill>
    <fill>
      <patternFill patternType="solid">
        <fgColor theme="4" tint="0.79998168889431442"/>
        <bgColor indexed="64"/>
      </patternFill>
    </fill>
    <fill>
      <patternFill patternType="solid">
        <fgColor rgb="FF151517"/>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8">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vertical="center"/>
    </xf>
    <xf numFmtId="0" fontId="1" fillId="2" borderId="1" xfId="0" applyFont="1" applyFill="1" applyBorder="1" applyAlignment="1">
      <alignment vertical="center"/>
    </xf>
    <xf numFmtId="0" fontId="1" fillId="2" borderId="0" xfId="0" applyFont="1" applyFill="1" applyAlignment="1">
      <alignment vertical="center"/>
    </xf>
    <xf numFmtId="0" fontId="1" fillId="2" borderId="0" xfId="0" applyFont="1" applyFill="1" applyAlignment="1">
      <alignment vertical="center" wrapText="1"/>
    </xf>
    <xf numFmtId="0" fontId="1" fillId="2" borderId="1" xfId="0" applyFont="1" applyFill="1" applyBorder="1" applyAlignment="1">
      <alignment vertical="center" wrapText="1"/>
    </xf>
    <xf numFmtId="0" fontId="2" fillId="3" borderId="1" xfId="0" applyFont="1" applyFill="1" applyBorder="1" applyAlignment="1">
      <alignment vertical="center" wrapText="1"/>
    </xf>
    <xf numFmtId="0" fontId="1" fillId="2" borderId="1" xfId="0" quotePrefix="1" applyFont="1" applyFill="1" applyBorder="1" applyAlignment="1">
      <alignment vertical="center" wrapText="1"/>
    </xf>
    <xf numFmtId="0" fontId="0" fillId="2" borderId="0" xfId="0" applyFill="1" applyAlignment="1">
      <alignment vertical="center"/>
    </xf>
    <xf numFmtId="0" fontId="3" fillId="2" borderId="1" xfId="1" applyFill="1" applyBorder="1" applyAlignment="1">
      <alignment vertical="center"/>
    </xf>
    <xf numFmtId="0" fontId="0" fillId="4" borderId="0" xfId="0" applyFill="1" applyAlignment="1">
      <alignment horizontal="left" vertical="center" wrapText="1" indent="1"/>
    </xf>
    <xf numFmtId="0" fontId="4" fillId="4" borderId="0" xfId="0" applyFont="1" applyFill="1" applyAlignment="1">
      <alignment horizontal="left" vertical="center" wrapText="1" indent="1"/>
    </xf>
    <xf numFmtId="0" fontId="5" fillId="4" borderId="0" xfId="0" applyFont="1" applyFill="1" applyAlignment="1">
      <alignment horizontal="left" vertical="center" wrapText="1" indent="1"/>
    </xf>
    <xf numFmtId="0" fontId="5" fillId="4" borderId="0" xfId="0" applyFont="1" applyFill="1" applyAlignment="1">
      <alignment horizontal="left" vertical="center" wrapText="1" indent="1"/>
    </xf>
    <xf numFmtId="0" fontId="6" fillId="4" borderId="0" xfId="0" applyFont="1" applyFill="1" applyAlignment="1">
      <alignment horizontal="left" vertical="center" wrapText="1" indent="1"/>
    </xf>
    <xf numFmtId="0" fontId="0" fillId="0" borderId="0" xfId="0" applyAlignment="1">
      <alignment horizontal="left" vertical="center" wrapText="1" indent="1"/>
    </xf>
    <xf numFmtId="0" fontId="7" fillId="0" borderId="0" xfId="0" applyFont="1" applyAlignment="1">
      <alignment horizontal="left" vertical="center" wrapText="1" indent="1"/>
    </xf>
    <xf numFmtId="0" fontId="8" fillId="0" borderId="0" xfId="0" applyFont="1" applyAlignment="1">
      <alignment horizontal="left" vertical="center" wrapText="1" indent="1"/>
    </xf>
    <xf numFmtId="0" fontId="8" fillId="0" borderId="0" xfId="0" applyFont="1" applyAlignment="1">
      <alignment horizontal="left" vertical="center" wrapText="1" indent="1"/>
    </xf>
    <xf numFmtId="0" fontId="9" fillId="0" borderId="0" xfId="0" applyFont="1" applyAlignment="1">
      <alignment horizontal="left" vertical="center" wrapText="1" indent="1"/>
    </xf>
    <xf numFmtId="0" fontId="0" fillId="0" borderId="0" xfId="0" applyAlignment="1">
      <alignment vertical="center" wrapText="1"/>
    </xf>
    <xf numFmtId="0" fontId="0" fillId="0" borderId="0" xfId="0" applyAlignment="1">
      <alignment vertical="center"/>
    </xf>
    <xf numFmtId="0" fontId="0" fillId="0" borderId="2" xfId="0" applyBorder="1" applyAlignment="1">
      <alignment vertical="center"/>
    </xf>
    <xf numFmtId="0" fontId="0" fillId="0" borderId="2" xfId="0" applyBorder="1" applyAlignment="1">
      <alignment vertical="center" wrapText="1"/>
    </xf>
    <xf numFmtId="0" fontId="0" fillId="0" borderId="2" xfId="0" quotePrefix="1" applyBorder="1" applyAlignment="1">
      <alignment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tt-mobileapp.fwh.is/Main/" TargetMode="External"/><Relationship Id="rId1" Type="http://schemas.openxmlformats.org/officeDocument/2006/relationships/hyperlink" Target="https://ttt-mobileapp.fwh.is/Mai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0"/>
  <sheetViews>
    <sheetView workbookViewId="0">
      <pane xSplit="3" ySplit="1" topLeftCell="H8" activePane="bottomRight" state="frozen"/>
      <selection pane="topRight" activeCell="D1" sqref="D1"/>
      <selection pane="bottomLeft" activeCell="A2" sqref="A2"/>
      <selection pane="bottomRight" activeCell="G8" sqref="G8"/>
    </sheetView>
  </sheetViews>
  <sheetFormatPr baseColWidth="10" defaultColWidth="9.140625" defaultRowHeight="15" x14ac:dyDescent="0.25"/>
  <cols>
    <col min="1" max="1" width="9.140625" style="1"/>
    <col min="2" max="2" width="44.85546875" style="7" customWidth="1"/>
    <col min="3" max="3" width="37.7109375" style="6" bestFit="1" customWidth="1"/>
    <col min="4" max="4" width="30.7109375" style="6" customWidth="1"/>
    <col min="5" max="5" width="13.85546875" style="6" bestFit="1" customWidth="1"/>
    <col min="6" max="6" width="24.85546875" style="6" customWidth="1"/>
    <col min="7" max="7" width="69.7109375" style="7" customWidth="1"/>
    <col min="8" max="8" width="61.7109375" style="6" customWidth="1"/>
    <col min="9" max="9" width="61.85546875" style="6" customWidth="1"/>
    <col min="10" max="11" width="53.140625" style="7" customWidth="1"/>
    <col min="12" max="12" width="17.7109375" style="6" customWidth="1"/>
    <col min="13" max="13" width="20.42578125" style="6" bestFit="1" customWidth="1"/>
    <col min="14" max="14" width="19.28515625" style="6" customWidth="1"/>
    <col min="15" max="16384" width="9.140625" style="6"/>
  </cols>
  <sheetData>
    <row r="1" spans="1:14" x14ac:dyDescent="0.25">
      <c r="A1" s="3" t="s">
        <v>64</v>
      </c>
      <c r="B1" s="9" t="s">
        <v>52</v>
      </c>
      <c r="C1" s="4" t="s">
        <v>43</v>
      </c>
      <c r="D1" s="4" t="s">
        <v>65</v>
      </c>
      <c r="E1" s="4" t="s">
        <v>47</v>
      </c>
      <c r="F1" s="4" t="s">
        <v>66</v>
      </c>
      <c r="G1" s="9" t="s">
        <v>45</v>
      </c>
      <c r="H1" s="4" t="s">
        <v>85</v>
      </c>
      <c r="I1" s="4" t="s">
        <v>46</v>
      </c>
      <c r="J1" s="4" t="s">
        <v>95</v>
      </c>
      <c r="K1" s="9" t="s">
        <v>44</v>
      </c>
      <c r="L1" s="4" t="s">
        <v>97</v>
      </c>
      <c r="M1" s="4" t="s">
        <v>98</v>
      </c>
      <c r="N1" s="4" t="s">
        <v>96</v>
      </c>
    </row>
    <row r="2" spans="1:14" ht="135" x14ac:dyDescent="0.25">
      <c r="A2" s="2">
        <v>1</v>
      </c>
      <c r="B2" s="8" t="s">
        <v>53</v>
      </c>
      <c r="C2" s="5" t="s">
        <v>16</v>
      </c>
      <c r="D2" s="5" t="s">
        <v>0</v>
      </c>
      <c r="E2" s="5" t="s">
        <v>48</v>
      </c>
      <c r="F2" s="5" t="s">
        <v>67</v>
      </c>
      <c r="G2" s="8" t="s">
        <v>61</v>
      </c>
      <c r="H2" s="5" t="s">
        <v>84</v>
      </c>
      <c r="I2" s="5"/>
      <c r="J2" s="8"/>
      <c r="K2" s="8" t="s">
        <v>73</v>
      </c>
      <c r="L2" s="12" t="s">
        <v>102</v>
      </c>
      <c r="M2" s="5" t="s">
        <v>99</v>
      </c>
      <c r="N2" s="5" t="s">
        <v>103</v>
      </c>
    </row>
    <row r="3" spans="1:14" ht="45" x14ac:dyDescent="0.25">
      <c r="A3" s="2">
        <v>2</v>
      </c>
      <c r="B3" s="8" t="s">
        <v>62</v>
      </c>
      <c r="C3" s="5" t="s">
        <v>60</v>
      </c>
      <c r="D3" s="5" t="s">
        <v>0</v>
      </c>
      <c r="E3" s="5" t="s">
        <v>48</v>
      </c>
      <c r="F3" s="5" t="s">
        <v>67</v>
      </c>
      <c r="G3" s="8" t="s">
        <v>63</v>
      </c>
      <c r="H3" s="5" t="s">
        <v>84</v>
      </c>
      <c r="I3" s="5"/>
      <c r="J3" s="8"/>
      <c r="K3" s="8"/>
      <c r="L3" s="12" t="s">
        <v>102</v>
      </c>
      <c r="M3" s="5" t="s">
        <v>99</v>
      </c>
      <c r="N3" s="5" t="s">
        <v>104</v>
      </c>
    </row>
    <row r="4" spans="1:14" ht="261" customHeight="1" x14ac:dyDescent="0.25">
      <c r="A4" s="2">
        <v>3</v>
      </c>
      <c r="B4" s="8" t="s">
        <v>70</v>
      </c>
      <c r="C4" s="5" t="s">
        <v>1</v>
      </c>
      <c r="D4" s="5" t="s">
        <v>0</v>
      </c>
      <c r="E4" s="5" t="s">
        <v>48</v>
      </c>
      <c r="F4" s="5" t="s">
        <v>67</v>
      </c>
      <c r="G4" s="8" t="s">
        <v>79</v>
      </c>
      <c r="H4" s="8" t="s">
        <v>86</v>
      </c>
      <c r="I4" s="8" t="s">
        <v>54</v>
      </c>
      <c r="J4" s="10" t="s">
        <v>72</v>
      </c>
      <c r="K4" s="8"/>
      <c r="L4" s="12" t="s">
        <v>102</v>
      </c>
      <c r="M4" s="5" t="s">
        <v>99</v>
      </c>
      <c r="N4" s="5" t="s">
        <v>105</v>
      </c>
    </row>
    <row r="5" spans="1:14" ht="150" x14ac:dyDescent="0.25">
      <c r="A5" s="2">
        <v>4</v>
      </c>
      <c r="B5" s="8" t="s">
        <v>71</v>
      </c>
      <c r="C5" s="5" t="s">
        <v>4</v>
      </c>
      <c r="D5" s="5" t="s">
        <v>0</v>
      </c>
      <c r="E5" s="5" t="s">
        <v>48</v>
      </c>
      <c r="F5" s="5" t="s">
        <v>67</v>
      </c>
      <c r="G5" s="8" t="s">
        <v>76</v>
      </c>
      <c r="H5" s="5"/>
      <c r="I5" s="5"/>
      <c r="J5" s="8"/>
      <c r="K5" s="8" t="s">
        <v>74</v>
      </c>
      <c r="L5" s="12" t="s">
        <v>102</v>
      </c>
      <c r="M5" s="5" t="s">
        <v>99</v>
      </c>
      <c r="N5" s="5" t="s">
        <v>106</v>
      </c>
    </row>
    <row r="6" spans="1:14" s="11" customFormat="1" ht="45" x14ac:dyDescent="0.25">
      <c r="A6" s="2">
        <v>5</v>
      </c>
      <c r="B6" s="8" t="s">
        <v>75</v>
      </c>
      <c r="C6" s="5" t="s">
        <v>57</v>
      </c>
      <c r="D6" s="5" t="s">
        <v>0</v>
      </c>
      <c r="E6" s="5" t="s">
        <v>48</v>
      </c>
      <c r="F6" s="5" t="s">
        <v>67</v>
      </c>
      <c r="G6" s="8" t="s">
        <v>78</v>
      </c>
      <c r="H6" s="5"/>
      <c r="I6" s="5"/>
      <c r="J6" s="5"/>
      <c r="K6" s="5"/>
      <c r="L6" s="12" t="s">
        <v>102</v>
      </c>
      <c r="M6" s="5" t="s">
        <v>99</v>
      </c>
      <c r="N6" s="5" t="s">
        <v>107</v>
      </c>
    </row>
    <row r="7" spans="1:14" s="11" customFormat="1" ht="165" x14ac:dyDescent="0.25">
      <c r="A7" s="2">
        <v>6</v>
      </c>
      <c r="B7" s="8" t="s">
        <v>77</v>
      </c>
      <c r="C7" s="5" t="s">
        <v>56</v>
      </c>
      <c r="D7" s="5" t="s">
        <v>0</v>
      </c>
      <c r="E7" s="5" t="s">
        <v>48</v>
      </c>
      <c r="F7" s="5" t="s">
        <v>67</v>
      </c>
      <c r="G7" s="8" t="s">
        <v>80</v>
      </c>
      <c r="H7" s="5"/>
      <c r="I7" s="5"/>
      <c r="J7" s="5"/>
      <c r="K7" s="8" t="s">
        <v>81</v>
      </c>
      <c r="L7" s="12" t="s">
        <v>102</v>
      </c>
      <c r="M7" s="5" t="s">
        <v>99</v>
      </c>
      <c r="N7" s="5" t="s">
        <v>108</v>
      </c>
    </row>
    <row r="8" spans="1:14" s="11" customFormat="1" ht="375" x14ac:dyDescent="0.25">
      <c r="A8" s="2">
        <v>7</v>
      </c>
      <c r="B8" s="8" t="s">
        <v>82</v>
      </c>
      <c r="C8" s="5" t="s">
        <v>55</v>
      </c>
      <c r="D8" s="5" t="s">
        <v>0</v>
      </c>
      <c r="E8" s="5" t="s">
        <v>48</v>
      </c>
      <c r="F8" s="5" t="s">
        <v>67</v>
      </c>
      <c r="G8" s="8" t="s">
        <v>89</v>
      </c>
      <c r="H8" s="8" t="s">
        <v>88</v>
      </c>
      <c r="I8" s="8" t="s">
        <v>90</v>
      </c>
      <c r="J8" s="5"/>
      <c r="K8" s="5"/>
      <c r="L8" s="12" t="s">
        <v>102</v>
      </c>
      <c r="M8" s="5" t="s">
        <v>99</v>
      </c>
      <c r="N8" s="5" t="s">
        <v>109</v>
      </c>
    </row>
    <row r="9" spans="1:14" s="11" customFormat="1" ht="60" x14ac:dyDescent="0.25">
      <c r="A9" s="2">
        <v>8</v>
      </c>
      <c r="B9" s="8" t="s">
        <v>83</v>
      </c>
      <c r="C9" s="5" t="s">
        <v>59</v>
      </c>
      <c r="D9" s="5" t="s">
        <v>0</v>
      </c>
      <c r="E9" s="5" t="s">
        <v>48</v>
      </c>
      <c r="F9" s="5" t="s">
        <v>67</v>
      </c>
      <c r="G9" s="8" t="s">
        <v>93</v>
      </c>
      <c r="H9" s="5" t="s">
        <v>87</v>
      </c>
      <c r="I9" s="5"/>
      <c r="J9" s="5"/>
      <c r="K9" s="5"/>
      <c r="L9" s="12" t="s">
        <v>102</v>
      </c>
      <c r="M9" s="5" t="s">
        <v>99</v>
      </c>
      <c r="N9" s="5" t="s">
        <v>110</v>
      </c>
    </row>
    <row r="10" spans="1:14" s="11" customFormat="1" ht="45" x14ac:dyDescent="0.25">
      <c r="A10" s="2">
        <v>9</v>
      </c>
      <c r="B10" s="8" t="s">
        <v>91</v>
      </c>
      <c r="C10" s="5" t="s">
        <v>58</v>
      </c>
      <c r="D10" s="5" t="s">
        <v>0</v>
      </c>
      <c r="E10" s="5" t="s">
        <v>48</v>
      </c>
      <c r="F10" s="5" t="s">
        <v>67</v>
      </c>
      <c r="G10" s="8" t="s">
        <v>94</v>
      </c>
      <c r="H10" s="5" t="s">
        <v>92</v>
      </c>
      <c r="I10" s="5"/>
      <c r="J10" s="5"/>
      <c r="K10" s="5"/>
      <c r="L10" s="12" t="s">
        <v>102</v>
      </c>
      <c r="M10" s="5" t="s">
        <v>99</v>
      </c>
      <c r="N10" s="5" t="s">
        <v>111</v>
      </c>
    </row>
    <row r="11" spans="1:14" x14ac:dyDescent="0.25">
      <c r="A11" s="2">
        <v>10</v>
      </c>
      <c r="B11" s="8"/>
      <c r="C11" s="5" t="s">
        <v>18</v>
      </c>
      <c r="D11" s="5" t="s">
        <v>0</v>
      </c>
      <c r="E11" s="5" t="s">
        <v>48</v>
      </c>
      <c r="F11" s="5" t="s">
        <v>67</v>
      </c>
      <c r="G11" s="8"/>
      <c r="H11" s="5"/>
      <c r="I11" s="5"/>
      <c r="J11" s="8"/>
      <c r="K11" s="8"/>
      <c r="L11" s="12" t="s">
        <v>102</v>
      </c>
      <c r="M11" s="5" t="s">
        <v>99</v>
      </c>
      <c r="N11" s="5" t="s">
        <v>112</v>
      </c>
    </row>
    <row r="12" spans="1:14" x14ac:dyDescent="0.25">
      <c r="A12" s="2">
        <v>11</v>
      </c>
      <c r="B12" s="8"/>
      <c r="C12" s="5" t="s">
        <v>3</v>
      </c>
      <c r="D12" s="5" t="s">
        <v>0</v>
      </c>
      <c r="E12" s="5" t="s">
        <v>48</v>
      </c>
      <c r="F12" s="5" t="s">
        <v>67</v>
      </c>
      <c r="G12" s="8"/>
      <c r="H12" s="5"/>
      <c r="I12" s="5"/>
      <c r="J12" s="8"/>
      <c r="K12" s="8"/>
      <c r="L12" s="12" t="s">
        <v>102</v>
      </c>
      <c r="M12" s="5" t="s">
        <v>99</v>
      </c>
      <c r="N12" s="5" t="s">
        <v>113</v>
      </c>
    </row>
    <row r="13" spans="1:14" x14ac:dyDescent="0.25">
      <c r="A13" s="2">
        <v>12</v>
      </c>
      <c r="B13" s="8"/>
      <c r="C13" s="5" t="s">
        <v>2</v>
      </c>
      <c r="D13" s="5" t="s">
        <v>0</v>
      </c>
      <c r="E13" s="5" t="s">
        <v>48</v>
      </c>
      <c r="F13" s="5" t="s">
        <v>67</v>
      </c>
      <c r="G13" s="8"/>
      <c r="H13" s="5"/>
      <c r="I13" s="5"/>
      <c r="J13" s="8"/>
      <c r="K13" s="8"/>
      <c r="L13" s="12" t="s">
        <v>102</v>
      </c>
      <c r="M13" s="5" t="s">
        <v>99</v>
      </c>
      <c r="N13" s="5" t="s">
        <v>114</v>
      </c>
    </row>
    <row r="14" spans="1:14" x14ac:dyDescent="0.25">
      <c r="A14" s="2">
        <v>13</v>
      </c>
      <c r="B14" s="8"/>
      <c r="C14" s="5" t="s">
        <v>12</v>
      </c>
      <c r="D14" s="5" t="s">
        <v>0</v>
      </c>
      <c r="E14" s="5" t="s">
        <v>48</v>
      </c>
      <c r="F14" s="5" t="s">
        <v>67</v>
      </c>
      <c r="G14" s="8"/>
      <c r="H14" s="5"/>
      <c r="I14" s="5"/>
      <c r="J14" s="8"/>
      <c r="K14" s="8"/>
      <c r="L14" s="12" t="s">
        <v>102</v>
      </c>
      <c r="M14" s="5" t="s">
        <v>99</v>
      </c>
      <c r="N14" s="5" t="s">
        <v>115</v>
      </c>
    </row>
    <row r="15" spans="1:14" x14ac:dyDescent="0.25">
      <c r="A15" s="2">
        <v>14</v>
      </c>
      <c r="B15" s="8"/>
      <c r="C15" s="5" t="s">
        <v>11</v>
      </c>
      <c r="D15" s="5" t="s">
        <v>0</v>
      </c>
      <c r="E15" s="5" t="s">
        <v>48</v>
      </c>
      <c r="F15" s="5" t="s">
        <v>67</v>
      </c>
      <c r="G15" s="8"/>
      <c r="H15" s="5"/>
      <c r="I15" s="5"/>
      <c r="J15" s="8"/>
      <c r="K15" s="8"/>
      <c r="L15" s="12" t="s">
        <v>102</v>
      </c>
      <c r="M15" s="5" t="s">
        <v>99</v>
      </c>
      <c r="N15" s="5" t="s">
        <v>116</v>
      </c>
    </row>
    <row r="16" spans="1:14" x14ac:dyDescent="0.25">
      <c r="A16" s="2">
        <v>15</v>
      </c>
      <c r="B16" s="8"/>
      <c r="C16" s="5" t="s">
        <v>14</v>
      </c>
      <c r="D16" s="5" t="s">
        <v>0</v>
      </c>
      <c r="E16" s="5" t="s">
        <v>48</v>
      </c>
      <c r="F16" s="5" t="s">
        <v>67</v>
      </c>
      <c r="G16" s="8"/>
      <c r="H16" s="5"/>
      <c r="I16" s="5"/>
      <c r="J16" s="8"/>
      <c r="K16" s="8"/>
      <c r="L16" s="12" t="s">
        <v>102</v>
      </c>
      <c r="M16" s="5" t="s">
        <v>99</v>
      </c>
      <c r="N16" s="5" t="s">
        <v>117</v>
      </c>
    </row>
    <row r="17" spans="1:14" x14ac:dyDescent="0.25">
      <c r="A17" s="2">
        <v>16</v>
      </c>
      <c r="B17" s="8"/>
      <c r="C17" s="5" t="s">
        <v>10</v>
      </c>
      <c r="D17" s="5" t="s">
        <v>0</v>
      </c>
      <c r="E17" s="5" t="s">
        <v>48</v>
      </c>
      <c r="F17" s="5" t="s">
        <v>67</v>
      </c>
      <c r="G17" s="8"/>
      <c r="H17" s="5"/>
      <c r="I17" s="5"/>
      <c r="J17" s="8"/>
      <c r="K17" s="8"/>
      <c r="L17" s="12" t="s">
        <v>102</v>
      </c>
      <c r="M17" s="5" t="s">
        <v>99</v>
      </c>
      <c r="N17" s="5" t="s">
        <v>118</v>
      </c>
    </row>
    <row r="18" spans="1:14" x14ac:dyDescent="0.25">
      <c r="A18" s="2">
        <v>17</v>
      </c>
      <c r="B18" s="8"/>
      <c r="C18" s="5" t="s">
        <v>9</v>
      </c>
      <c r="D18" s="5" t="s">
        <v>0</v>
      </c>
      <c r="E18" s="5" t="s">
        <v>48</v>
      </c>
      <c r="F18" s="5" t="s">
        <v>67</v>
      </c>
      <c r="G18" s="8"/>
      <c r="H18" s="5"/>
      <c r="I18" s="5"/>
      <c r="J18" s="8"/>
      <c r="K18" s="8"/>
      <c r="L18" s="12" t="s">
        <v>102</v>
      </c>
      <c r="M18" s="5" t="s">
        <v>99</v>
      </c>
      <c r="N18" s="5" t="s">
        <v>119</v>
      </c>
    </row>
    <row r="19" spans="1:14" x14ac:dyDescent="0.25">
      <c r="A19" s="2">
        <v>18</v>
      </c>
      <c r="B19" s="8"/>
      <c r="C19" s="5" t="s">
        <v>8</v>
      </c>
      <c r="D19" s="5" t="s">
        <v>0</v>
      </c>
      <c r="E19" s="5" t="s">
        <v>48</v>
      </c>
      <c r="F19" s="5" t="s">
        <v>67</v>
      </c>
      <c r="G19" s="8"/>
      <c r="H19" s="5"/>
      <c r="I19" s="5"/>
      <c r="J19" s="8"/>
      <c r="K19" s="8"/>
      <c r="L19" s="12" t="s">
        <v>102</v>
      </c>
      <c r="M19" s="5" t="s">
        <v>99</v>
      </c>
      <c r="N19" s="5" t="s">
        <v>120</v>
      </c>
    </row>
    <row r="20" spans="1:14" x14ac:dyDescent="0.25">
      <c r="A20" s="2">
        <v>19</v>
      </c>
      <c r="B20" s="8"/>
      <c r="C20" s="5" t="s">
        <v>7</v>
      </c>
      <c r="D20" s="5" t="s">
        <v>0</v>
      </c>
      <c r="E20" s="5" t="s">
        <v>48</v>
      </c>
      <c r="F20" s="5" t="s">
        <v>67</v>
      </c>
      <c r="G20" s="8"/>
      <c r="H20" s="5"/>
      <c r="I20" s="5"/>
      <c r="J20" s="8"/>
      <c r="K20" s="8"/>
      <c r="L20" s="12" t="s">
        <v>102</v>
      </c>
      <c r="M20" s="5" t="s">
        <v>99</v>
      </c>
      <c r="N20" s="5" t="s">
        <v>121</v>
      </c>
    </row>
    <row r="21" spans="1:14" x14ac:dyDescent="0.25">
      <c r="A21" s="2">
        <v>20</v>
      </c>
      <c r="B21" s="8"/>
      <c r="C21" s="5" t="s">
        <v>6</v>
      </c>
      <c r="D21" s="5" t="s">
        <v>0</v>
      </c>
      <c r="E21" s="5" t="s">
        <v>48</v>
      </c>
      <c r="F21" s="5" t="s">
        <v>67</v>
      </c>
      <c r="G21" s="8"/>
      <c r="H21" s="5"/>
      <c r="I21" s="5"/>
      <c r="J21" s="8"/>
      <c r="K21" s="8"/>
      <c r="L21" s="12" t="s">
        <v>102</v>
      </c>
      <c r="M21" s="5" t="s">
        <v>99</v>
      </c>
      <c r="N21" s="5" t="s">
        <v>122</v>
      </c>
    </row>
    <row r="22" spans="1:14" x14ac:dyDescent="0.25">
      <c r="A22" s="2">
        <v>21</v>
      </c>
      <c r="B22" s="8"/>
      <c r="C22" s="5" t="s">
        <v>5</v>
      </c>
      <c r="D22" s="5" t="s">
        <v>0</v>
      </c>
      <c r="E22" s="5" t="s">
        <v>48</v>
      </c>
      <c r="F22" s="5" t="s">
        <v>67</v>
      </c>
      <c r="G22" s="8"/>
      <c r="H22" s="5"/>
      <c r="I22" s="5"/>
      <c r="J22" s="8"/>
      <c r="K22" s="8"/>
      <c r="L22" s="12" t="s">
        <v>102</v>
      </c>
      <c r="M22" s="5" t="s">
        <v>99</v>
      </c>
      <c r="N22" s="5" t="s">
        <v>123</v>
      </c>
    </row>
    <row r="23" spans="1:14" x14ac:dyDescent="0.25">
      <c r="A23" s="2">
        <v>22</v>
      </c>
      <c r="B23" s="8"/>
      <c r="C23" s="5" t="s">
        <v>17</v>
      </c>
      <c r="D23" s="5" t="s">
        <v>0</v>
      </c>
      <c r="E23" s="5" t="s">
        <v>48</v>
      </c>
      <c r="F23" s="5" t="s">
        <v>67</v>
      </c>
      <c r="G23" s="8"/>
      <c r="H23" s="5"/>
      <c r="I23" s="5"/>
      <c r="J23" s="8"/>
      <c r="K23" s="8"/>
      <c r="L23" s="12" t="s">
        <v>102</v>
      </c>
      <c r="M23" s="5" t="s">
        <v>99</v>
      </c>
      <c r="N23" s="5" t="s">
        <v>124</v>
      </c>
    </row>
    <row r="24" spans="1:14" x14ac:dyDescent="0.25">
      <c r="A24" s="2">
        <v>23</v>
      </c>
      <c r="B24" s="8"/>
      <c r="C24" s="5" t="s">
        <v>15</v>
      </c>
      <c r="D24" s="5" t="s">
        <v>0</v>
      </c>
      <c r="E24" s="5" t="s">
        <v>48</v>
      </c>
      <c r="F24" s="5" t="s">
        <v>67</v>
      </c>
      <c r="G24" s="8"/>
      <c r="H24" s="5"/>
      <c r="I24" s="5"/>
      <c r="J24" s="8"/>
      <c r="K24" s="8"/>
      <c r="L24" s="12" t="s">
        <v>102</v>
      </c>
      <c r="M24" s="5" t="s">
        <v>99</v>
      </c>
      <c r="N24" s="5" t="s">
        <v>125</v>
      </c>
    </row>
    <row r="25" spans="1:14" x14ac:dyDescent="0.25">
      <c r="A25" s="2">
        <v>24</v>
      </c>
      <c r="B25" s="8"/>
      <c r="C25" s="5" t="s">
        <v>13</v>
      </c>
      <c r="D25" s="5" t="s">
        <v>0</v>
      </c>
      <c r="E25" s="5" t="s">
        <v>48</v>
      </c>
      <c r="F25" s="5" t="s">
        <v>67</v>
      </c>
      <c r="G25" s="8"/>
      <c r="H25" s="5"/>
      <c r="I25" s="5"/>
      <c r="J25" s="8"/>
      <c r="K25" s="8"/>
      <c r="L25" s="12" t="s">
        <v>102</v>
      </c>
      <c r="M25" s="5" t="s">
        <v>99</v>
      </c>
      <c r="N25" s="5" t="s">
        <v>126</v>
      </c>
    </row>
    <row r="26" spans="1:14" x14ac:dyDescent="0.25">
      <c r="A26" s="2">
        <v>25</v>
      </c>
      <c r="B26" s="8"/>
      <c r="C26" s="5" t="s">
        <v>34</v>
      </c>
      <c r="D26" s="5" t="s">
        <v>19</v>
      </c>
      <c r="E26" s="5" t="s">
        <v>49</v>
      </c>
      <c r="F26" s="5" t="s">
        <v>68</v>
      </c>
      <c r="G26" s="8"/>
      <c r="H26" s="5"/>
      <c r="I26" s="5"/>
      <c r="J26" s="8"/>
      <c r="K26" s="8"/>
      <c r="L26" s="12" t="s">
        <v>102</v>
      </c>
      <c r="M26" s="5" t="s">
        <v>100</v>
      </c>
      <c r="N26" s="5" t="s">
        <v>127</v>
      </c>
    </row>
    <row r="27" spans="1:14" x14ac:dyDescent="0.25">
      <c r="A27" s="2">
        <v>26</v>
      </c>
      <c r="B27" s="8"/>
      <c r="C27" s="5" t="s">
        <v>34</v>
      </c>
      <c r="D27" s="5" t="s">
        <v>19</v>
      </c>
      <c r="E27" s="5" t="s">
        <v>49</v>
      </c>
      <c r="F27" s="5" t="s">
        <v>68</v>
      </c>
      <c r="G27" s="8"/>
      <c r="H27" s="5"/>
      <c r="I27" s="5"/>
      <c r="J27" s="8"/>
      <c r="K27" s="8"/>
      <c r="L27" s="12" t="s">
        <v>102</v>
      </c>
      <c r="M27" s="5" t="s">
        <v>100</v>
      </c>
      <c r="N27" s="5" t="s">
        <v>127</v>
      </c>
    </row>
    <row r="28" spans="1:14" x14ac:dyDescent="0.25">
      <c r="A28" s="2">
        <v>27</v>
      </c>
      <c r="B28" s="8"/>
      <c r="C28" s="5" t="s">
        <v>25</v>
      </c>
      <c r="D28" s="5" t="s">
        <v>19</v>
      </c>
      <c r="E28" s="5" t="s">
        <v>49</v>
      </c>
      <c r="F28" s="5" t="s">
        <v>68</v>
      </c>
      <c r="G28" s="8"/>
      <c r="H28" s="5"/>
      <c r="I28" s="5"/>
      <c r="J28" s="8"/>
      <c r="K28" s="8"/>
      <c r="L28" s="12" t="s">
        <v>102</v>
      </c>
      <c r="M28" s="5" t="s">
        <v>100</v>
      </c>
      <c r="N28" s="5" t="s">
        <v>128</v>
      </c>
    </row>
    <row r="29" spans="1:14" x14ac:dyDescent="0.25">
      <c r="A29" s="2">
        <v>28</v>
      </c>
      <c r="B29" s="8"/>
      <c r="C29" s="5" t="s">
        <v>25</v>
      </c>
      <c r="D29" s="5" t="s">
        <v>19</v>
      </c>
      <c r="E29" s="5" t="s">
        <v>49</v>
      </c>
      <c r="F29" s="5" t="s">
        <v>68</v>
      </c>
      <c r="G29" s="8"/>
      <c r="H29" s="5"/>
      <c r="I29" s="5"/>
      <c r="J29" s="8"/>
      <c r="K29" s="8"/>
      <c r="L29" s="12" t="s">
        <v>102</v>
      </c>
      <c r="M29" s="5" t="s">
        <v>100</v>
      </c>
      <c r="N29" s="5" t="s">
        <v>128</v>
      </c>
    </row>
    <row r="30" spans="1:14" x14ac:dyDescent="0.25">
      <c r="A30" s="2">
        <v>29</v>
      </c>
      <c r="B30" s="8"/>
      <c r="C30" s="5" t="s">
        <v>23</v>
      </c>
      <c r="D30" s="5" t="s">
        <v>19</v>
      </c>
      <c r="E30" s="5" t="s">
        <v>49</v>
      </c>
      <c r="F30" s="5" t="s">
        <v>68</v>
      </c>
      <c r="G30" s="8"/>
      <c r="H30" s="5"/>
      <c r="I30" s="5"/>
      <c r="J30" s="8"/>
      <c r="K30" s="8"/>
      <c r="L30" s="12" t="s">
        <v>102</v>
      </c>
      <c r="M30" s="5" t="s">
        <v>100</v>
      </c>
      <c r="N30" s="5" t="s">
        <v>129</v>
      </c>
    </row>
    <row r="31" spans="1:14" x14ac:dyDescent="0.25">
      <c r="A31" s="2">
        <v>30</v>
      </c>
      <c r="B31" s="8"/>
      <c r="C31" s="5" t="s">
        <v>23</v>
      </c>
      <c r="D31" s="5" t="s">
        <v>19</v>
      </c>
      <c r="E31" s="5" t="s">
        <v>49</v>
      </c>
      <c r="F31" s="5" t="s">
        <v>68</v>
      </c>
      <c r="G31" s="8"/>
      <c r="H31" s="5"/>
      <c r="I31" s="5"/>
      <c r="J31" s="8"/>
      <c r="K31" s="8"/>
      <c r="L31" s="12" t="s">
        <v>102</v>
      </c>
      <c r="M31" s="5" t="s">
        <v>100</v>
      </c>
      <c r="N31" s="5" t="s">
        <v>129</v>
      </c>
    </row>
    <row r="32" spans="1:14" x14ac:dyDescent="0.25">
      <c r="A32" s="2">
        <v>31</v>
      </c>
      <c r="B32" s="8"/>
      <c r="C32" s="5" t="s">
        <v>22</v>
      </c>
      <c r="D32" s="5" t="s">
        <v>19</v>
      </c>
      <c r="E32" s="5" t="s">
        <v>49</v>
      </c>
      <c r="F32" s="5" t="s">
        <v>68</v>
      </c>
      <c r="G32" s="8"/>
      <c r="H32" s="5"/>
      <c r="I32" s="5"/>
      <c r="J32" s="8"/>
      <c r="K32" s="8"/>
      <c r="L32" s="12" t="s">
        <v>102</v>
      </c>
      <c r="M32" s="5" t="s">
        <v>100</v>
      </c>
      <c r="N32" s="5" t="s">
        <v>130</v>
      </c>
    </row>
    <row r="33" spans="1:14" x14ac:dyDescent="0.25">
      <c r="A33" s="2">
        <v>32</v>
      </c>
      <c r="B33" s="8"/>
      <c r="C33" s="5" t="s">
        <v>22</v>
      </c>
      <c r="D33" s="5" t="s">
        <v>19</v>
      </c>
      <c r="E33" s="5" t="s">
        <v>49</v>
      </c>
      <c r="F33" s="5" t="s">
        <v>68</v>
      </c>
      <c r="G33" s="8"/>
      <c r="H33" s="5"/>
      <c r="I33" s="5"/>
      <c r="J33" s="8"/>
      <c r="K33" s="8"/>
      <c r="L33" s="12" t="s">
        <v>102</v>
      </c>
      <c r="M33" s="5" t="s">
        <v>100</v>
      </c>
      <c r="N33" s="5" t="s">
        <v>130</v>
      </c>
    </row>
    <row r="34" spans="1:14" x14ac:dyDescent="0.25">
      <c r="A34" s="2">
        <v>33</v>
      </c>
      <c r="B34" s="8"/>
      <c r="C34" s="5" t="s">
        <v>21</v>
      </c>
      <c r="D34" s="5" t="s">
        <v>19</v>
      </c>
      <c r="E34" s="5" t="s">
        <v>49</v>
      </c>
      <c r="F34" s="5" t="s">
        <v>68</v>
      </c>
      <c r="G34" s="8"/>
      <c r="H34" s="5"/>
      <c r="I34" s="5"/>
      <c r="J34" s="8"/>
      <c r="K34" s="8"/>
      <c r="L34" s="12" t="s">
        <v>102</v>
      </c>
      <c r="M34" s="5" t="s">
        <v>100</v>
      </c>
      <c r="N34" s="5" t="s">
        <v>131</v>
      </c>
    </row>
    <row r="35" spans="1:14" x14ac:dyDescent="0.25">
      <c r="A35" s="2">
        <v>34</v>
      </c>
      <c r="B35" s="8"/>
      <c r="C35" s="5" t="s">
        <v>21</v>
      </c>
      <c r="D35" s="5" t="s">
        <v>19</v>
      </c>
      <c r="E35" s="5" t="s">
        <v>49</v>
      </c>
      <c r="F35" s="5" t="s">
        <v>68</v>
      </c>
      <c r="G35" s="8"/>
      <c r="H35" s="5"/>
      <c r="I35" s="5"/>
      <c r="J35" s="8"/>
      <c r="K35" s="8"/>
      <c r="L35" s="12" t="s">
        <v>102</v>
      </c>
      <c r="M35" s="5" t="s">
        <v>100</v>
      </c>
      <c r="N35" s="5" t="s">
        <v>131</v>
      </c>
    </row>
    <row r="36" spans="1:14" x14ac:dyDescent="0.25">
      <c r="A36" s="2">
        <v>35</v>
      </c>
      <c r="B36" s="8"/>
      <c r="C36" s="5" t="s">
        <v>20</v>
      </c>
      <c r="D36" s="5" t="s">
        <v>19</v>
      </c>
      <c r="E36" s="5" t="s">
        <v>49</v>
      </c>
      <c r="F36" s="5" t="s">
        <v>68</v>
      </c>
      <c r="G36" s="8"/>
      <c r="H36" s="5"/>
      <c r="I36" s="5"/>
      <c r="J36" s="8"/>
      <c r="K36" s="8"/>
      <c r="L36" s="12" t="s">
        <v>102</v>
      </c>
      <c r="M36" s="5" t="s">
        <v>100</v>
      </c>
      <c r="N36" s="5" t="s">
        <v>132</v>
      </c>
    </row>
    <row r="37" spans="1:14" x14ac:dyDescent="0.25">
      <c r="A37" s="2">
        <v>36</v>
      </c>
      <c r="B37" s="8"/>
      <c r="C37" s="5" t="s">
        <v>20</v>
      </c>
      <c r="D37" s="5" t="s">
        <v>19</v>
      </c>
      <c r="E37" s="5" t="s">
        <v>49</v>
      </c>
      <c r="F37" s="5" t="s">
        <v>68</v>
      </c>
      <c r="G37" s="8"/>
      <c r="H37" s="5"/>
      <c r="I37" s="5"/>
      <c r="J37" s="8"/>
      <c r="K37" s="8"/>
      <c r="L37" s="12" t="s">
        <v>102</v>
      </c>
      <c r="M37" s="5" t="s">
        <v>100</v>
      </c>
      <c r="N37" s="5" t="s">
        <v>132</v>
      </c>
    </row>
    <row r="38" spans="1:14" x14ac:dyDescent="0.25">
      <c r="A38" s="2">
        <v>37</v>
      </c>
      <c r="B38" s="8"/>
      <c r="C38" s="5" t="s">
        <v>33</v>
      </c>
      <c r="D38" s="5" t="s">
        <v>19</v>
      </c>
      <c r="E38" s="5" t="s">
        <v>49</v>
      </c>
      <c r="F38" s="5" t="s">
        <v>68</v>
      </c>
      <c r="G38" s="8"/>
      <c r="H38" s="5"/>
      <c r="I38" s="5"/>
      <c r="J38" s="8"/>
      <c r="K38" s="8"/>
      <c r="L38" s="12" t="s">
        <v>102</v>
      </c>
      <c r="M38" s="5" t="s">
        <v>100</v>
      </c>
      <c r="N38" s="5" t="s">
        <v>133</v>
      </c>
    </row>
    <row r="39" spans="1:14" x14ac:dyDescent="0.25">
      <c r="A39" s="2">
        <v>38</v>
      </c>
      <c r="B39" s="8"/>
      <c r="C39" s="5" t="s">
        <v>33</v>
      </c>
      <c r="D39" s="5" t="s">
        <v>19</v>
      </c>
      <c r="E39" s="5" t="s">
        <v>49</v>
      </c>
      <c r="F39" s="5" t="s">
        <v>68</v>
      </c>
      <c r="G39" s="8"/>
      <c r="H39" s="5"/>
      <c r="I39" s="5"/>
      <c r="J39" s="8"/>
      <c r="K39" s="8"/>
      <c r="L39" s="12" t="s">
        <v>102</v>
      </c>
      <c r="M39" s="5" t="s">
        <v>100</v>
      </c>
      <c r="N39" s="5" t="s">
        <v>133</v>
      </c>
    </row>
    <row r="40" spans="1:14" x14ac:dyDescent="0.25">
      <c r="A40" s="2">
        <v>39</v>
      </c>
      <c r="B40" s="8"/>
      <c r="C40" s="5" t="s">
        <v>32</v>
      </c>
      <c r="D40" s="5" t="s">
        <v>19</v>
      </c>
      <c r="E40" s="5" t="s">
        <v>49</v>
      </c>
      <c r="F40" s="5" t="s">
        <v>68</v>
      </c>
      <c r="G40" s="8"/>
      <c r="H40" s="5"/>
      <c r="I40" s="5"/>
      <c r="J40" s="8"/>
      <c r="K40" s="8"/>
      <c r="L40" s="12" t="s">
        <v>102</v>
      </c>
      <c r="M40" s="5" t="s">
        <v>100</v>
      </c>
      <c r="N40" s="5" t="s">
        <v>134</v>
      </c>
    </row>
    <row r="41" spans="1:14" x14ac:dyDescent="0.25">
      <c r="A41" s="2">
        <v>40</v>
      </c>
      <c r="B41" s="8"/>
      <c r="C41" s="5" t="s">
        <v>32</v>
      </c>
      <c r="D41" s="5" t="s">
        <v>19</v>
      </c>
      <c r="E41" s="5" t="s">
        <v>49</v>
      </c>
      <c r="F41" s="5" t="s">
        <v>68</v>
      </c>
      <c r="G41" s="8"/>
      <c r="H41" s="5"/>
      <c r="I41" s="5"/>
      <c r="J41" s="8"/>
      <c r="K41" s="8"/>
      <c r="L41" s="12" t="s">
        <v>102</v>
      </c>
      <c r="M41" s="5" t="s">
        <v>100</v>
      </c>
      <c r="N41" s="5" t="s">
        <v>134</v>
      </c>
    </row>
    <row r="42" spans="1:14" x14ac:dyDescent="0.25">
      <c r="A42" s="2">
        <v>41</v>
      </c>
      <c r="B42" s="8"/>
      <c r="C42" s="5" t="s">
        <v>31</v>
      </c>
      <c r="D42" s="5" t="s">
        <v>19</v>
      </c>
      <c r="E42" s="5" t="s">
        <v>49</v>
      </c>
      <c r="F42" s="5" t="s">
        <v>68</v>
      </c>
      <c r="G42" s="8"/>
      <c r="H42" s="5"/>
      <c r="I42" s="5"/>
      <c r="J42" s="8"/>
      <c r="K42" s="8"/>
      <c r="L42" s="12" t="s">
        <v>102</v>
      </c>
      <c r="M42" s="5" t="s">
        <v>100</v>
      </c>
      <c r="N42" s="5" t="s">
        <v>135</v>
      </c>
    </row>
    <row r="43" spans="1:14" x14ac:dyDescent="0.25">
      <c r="A43" s="2">
        <v>42</v>
      </c>
      <c r="B43" s="8"/>
      <c r="C43" s="5" t="s">
        <v>31</v>
      </c>
      <c r="D43" s="5" t="s">
        <v>19</v>
      </c>
      <c r="E43" s="5" t="s">
        <v>49</v>
      </c>
      <c r="F43" s="5" t="s">
        <v>68</v>
      </c>
      <c r="G43" s="8"/>
      <c r="H43" s="5"/>
      <c r="I43" s="5"/>
      <c r="J43" s="8"/>
      <c r="K43" s="8"/>
      <c r="L43" s="12" t="s">
        <v>102</v>
      </c>
      <c r="M43" s="5" t="s">
        <v>100</v>
      </c>
      <c r="N43" s="5" t="s">
        <v>135</v>
      </c>
    </row>
    <row r="44" spans="1:14" x14ac:dyDescent="0.25">
      <c r="A44" s="2">
        <v>43</v>
      </c>
      <c r="B44" s="8"/>
      <c r="C44" s="5" t="s">
        <v>30</v>
      </c>
      <c r="D44" s="5" t="s">
        <v>19</v>
      </c>
      <c r="E44" s="5" t="s">
        <v>49</v>
      </c>
      <c r="F44" s="5" t="s">
        <v>68</v>
      </c>
      <c r="G44" s="8"/>
      <c r="H44" s="5"/>
      <c r="I44" s="5"/>
      <c r="J44" s="8"/>
      <c r="K44" s="8"/>
      <c r="L44" s="12" t="s">
        <v>102</v>
      </c>
      <c r="M44" s="5" t="s">
        <v>100</v>
      </c>
      <c r="N44" s="5" t="s">
        <v>136</v>
      </c>
    </row>
    <row r="45" spans="1:14" x14ac:dyDescent="0.25">
      <c r="A45" s="2">
        <v>44</v>
      </c>
      <c r="B45" s="8"/>
      <c r="C45" s="5" t="s">
        <v>30</v>
      </c>
      <c r="D45" s="5" t="s">
        <v>19</v>
      </c>
      <c r="E45" s="5" t="s">
        <v>49</v>
      </c>
      <c r="F45" s="5" t="s">
        <v>68</v>
      </c>
      <c r="G45" s="8"/>
      <c r="H45" s="5"/>
      <c r="I45" s="5"/>
      <c r="J45" s="8"/>
      <c r="K45" s="8"/>
      <c r="L45" s="12" t="s">
        <v>102</v>
      </c>
      <c r="M45" s="5" t="s">
        <v>100</v>
      </c>
      <c r="N45" s="5" t="s">
        <v>136</v>
      </c>
    </row>
    <row r="46" spans="1:14" x14ac:dyDescent="0.25">
      <c r="A46" s="2">
        <v>45</v>
      </c>
      <c r="B46" s="8"/>
      <c r="C46" s="5" t="s">
        <v>51</v>
      </c>
      <c r="D46" s="5" t="s">
        <v>19</v>
      </c>
      <c r="E46" s="5" t="s">
        <v>49</v>
      </c>
      <c r="F46" s="5" t="s">
        <v>68</v>
      </c>
      <c r="G46" s="8"/>
      <c r="H46" s="5"/>
      <c r="I46" s="5"/>
      <c r="J46" s="8"/>
      <c r="K46" s="8"/>
      <c r="L46" s="12" t="s">
        <v>102</v>
      </c>
      <c r="M46" s="5" t="s">
        <v>100</v>
      </c>
      <c r="N46" s="5" t="s">
        <v>137</v>
      </c>
    </row>
    <row r="47" spans="1:14" x14ac:dyDescent="0.25">
      <c r="A47" s="2">
        <v>46</v>
      </c>
      <c r="B47" s="8"/>
      <c r="C47" s="5" t="s">
        <v>51</v>
      </c>
      <c r="D47" s="5" t="s">
        <v>19</v>
      </c>
      <c r="E47" s="5" t="s">
        <v>49</v>
      </c>
      <c r="F47" s="5" t="s">
        <v>68</v>
      </c>
      <c r="G47" s="8"/>
      <c r="H47" s="5"/>
      <c r="I47" s="5"/>
      <c r="J47" s="8"/>
      <c r="K47" s="8"/>
      <c r="L47" s="12" t="s">
        <v>102</v>
      </c>
      <c r="M47" s="5" t="s">
        <v>100</v>
      </c>
      <c r="N47" s="5" t="s">
        <v>137</v>
      </c>
    </row>
    <row r="48" spans="1:14" x14ac:dyDescent="0.25">
      <c r="A48" s="2">
        <v>47</v>
      </c>
      <c r="B48" s="8"/>
      <c r="C48" s="5" t="s">
        <v>24</v>
      </c>
      <c r="D48" s="5" t="s">
        <v>19</v>
      </c>
      <c r="E48" s="5" t="s">
        <v>49</v>
      </c>
      <c r="F48" s="5" t="s">
        <v>68</v>
      </c>
      <c r="G48" s="8"/>
      <c r="H48" s="5"/>
      <c r="I48" s="5"/>
      <c r="J48" s="8"/>
      <c r="K48" s="8"/>
      <c r="L48" s="12" t="s">
        <v>102</v>
      </c>
      <c r="M48" s="5" t="s">
        <v>100</v>
      </c>
      <c r="N48" s="5" t="s">
        <v>138</v>
      </c>
    </row>
    <row r="49" spans="1:14" x14ac:dyDescent="0.25">
      <c r="A49" s="2">
        <v>48</v>
      </c>
      <c r="B49" s="8"/>
      <c r="C49" s="5" t="s">
        <v>24</v>
      </c>
      <c r="D49" s="5" t="s">
        <v>19</v>
      </c>
      <c r="E49" s="5" t="s">
        <v>49</v>
      </c>
      <c r="F49" s="5" t="s">
        <v>68</v>
      </c>
      <c r="G49" s="8"/>
      <c r="H49" s="5"/>
      <c r="I49" s="5"/>
      <c r="J49" s="8"/>
      <c r="K49" s="8"/>
      <c r="L49" s="12" t="s">
        <v>102</v>
      </c>
      <c r="M49" s="5" t="s">
        <v>100</v>
      </c>
      <c r="N49" s="5" t="s">
        <v>138</v>
      </c>
    </row>
    <row r="50" spans="1:14" x14ac:dyDescent="0.25">
      <c r="A50" s="2">
        <v>49</v>
      </c>
      <c r="B50" s="8"/>
      <c r="C50" s="5" t="s">
        <v>28</v>
      </c>
      <c r="D50" s="5" t="s">
        <v>19</v>
      </c>
      <c r="E50" s="5" t="s">
        <v>49</v>
      </c>
      <c r="F50" s="5" t="s">
        <v>68</v>
      </c>
      <c r="G50" s="8"/>
      <c r="H50" s="5"/>
      <c r="I50" s="5"/>
      <c r="J50" s="8"/>
      <c r="K50" s="8"/>
      <c r="L50" s="12" t="s">
        <v>102</v>
      </c>
      <c r="M50" s="5" t="s">
        <v>100</v>
      </c>
      <c r="N50" s="5" t="s">
        <v>139</v>
      </c>
    </row>
    <row r="51" spans="1:14" x14ac:dyDescent="0.25">
      <c r="A51" s="2">
        <v>50</v>
      </c>
      <c r="B51" s="8"/>
      <c r="C51" s="5" t="s">
        <v>28</v>
      </c>
      <c r="D51" s="5" t="s">
        <v>19</v>
      </c>
      <c r="E51" s="5" t="s">
        <v>49</v>
      </c>
      <c r="F51" s="5" t="s">
        <v>68</v>
      </c>
      <c r="G51" s="8"/>
      <c r="H51" s="5"/>
      <c r="I51" s="5"/>
      <c r="J51" s="8"/>
      <c r="K51" s="8"/>
      <c r="L51" s="12" t="s">
        <v>102</v>
      </c>
      <c r="M51" s="5" t="s">
        <v>100</v>
      </c>
      <c r="N51" s="5" t="s">
        <v>139</v>
      </c>
    </row>
    <row r="52" spans="1:14" x14ac:dyDescent="0.25">
      <c r="A52" s="2">
        <v>51</v>
      </c>
      <c r="B52" s="8"/>
      <c r="C52" s="5" t="s">
        <v>27</v>
      </c>
      <c r="D52" s="5" t="s">
        <v>19</v>
      </c>
      <c r="E52" s="5" t="s">
        <v>49</v>
      </c>
      <c r="F52" s="5" t="s">
        <v>68</v>
      </c>
      <c r="G52" s="8"/>
      <c r="H52" s="5"/>
      <c r="I52" s="5"/>
      <c r="J52" s="8"/>
      <c r="K52" s="8"/>
      <c r="L52" s="12" t="s">
        <v>102</v>
      </c>
      <c r="M52" s="5" t="s">
        <v>100</v>
      </c>
      <c r="N52" s="5" t="s">
        <v>140</v>
      </c>
    </row>
    <row r="53" spans="1:14" x14ac:dyDescent="0.25">
      <c r="A53" s="2">
        <v>52</v>
      </c>
      <c r="B53" s="8"/>
      <c r="C53" s="5" t="s">
        <v>27</v>
      </c>
      <c r="D53" s="5" t="s">
        <v>19</v>
      </c>
      <c r="E53" s="5" t="s">
        <v>49</v>
      </c>
      <c r="F53" s="5" t="s">
        <v>68</v>
      </c>
      <c r="G53" s="8"/>
      <c r="H53" s="5"/>
      <c r="I53" s="5"/>
      <c r="J53" s="8"/>
      <c r="K53" s="8"/>
      <c r="L53" s="12" t="s">
        <v>102</v>
      </c>
      <c r="M53" s="5" t="s">
        <v>100</v>
      </c>
      <c r="N53" s="5" t="s">
        <v>140</v>
      </c>
    </row>
    <row r="54" spans="1:14" x14ac:dyDescent="0.25">
      <c r="A54" s="2">
        <v>53</v>
      </c>
      <c r="B54" s="8"/>
      <c r="C54" s="5" t="s">
        <v>29</v>
      </c>
      <c r="D54" s="5" t="s">
        <v>19</v>
      </c>
      <c r="E54" s="5" t="s">
        <v>49</v>
      </c>
      <c r="F54" s="5" t="s">
        <v>68</v>
      </c>
      <c r="G54" s="8"/>
      <c r="H54" s="5"/>
      <c r="I54" s="5"/>
      <c r="J54" s="8"/>
      <c r="K54" s="8"/>
      <c r="L54" s="12" t="s">
        <v>102</v>
      </c>
      <c r="M54" s="5" t="s">
        <v>100</v>
      </c>
      <c r="N54" s="5" t="s">
        <v>141</v>
      </c>
    </row>
    <row r="55" spans="1:14" x14ac:dyDescent="0.25">
      <c r="A55" s="2">
        <v>54</v>
      </c>
      <c r="B55" s="8"/>
      <c r="C55" s="5" t="s">
        <v>29</v>
      </c>
      <c r="D55" s="5" t="s">
        <v>19</v>
      </c>
      <c r="E55" s="5" t="s">
        <v>49</v>
      </c>
      <c r="F55" s="5" t="s">
        <v>68</v>
      </c>
      <c r="G55" s="8"/>
      <c r="H55" s="5"/>
      <c r="I55" s="5"/>
      <c r="J55" s="8"/>
      <c r="K55" s="8"/>
      <c r="L55" s="12" t="s">
        <v>102</v>
      </c>
      <c r="M55" s="5" t="s">
        <v>100</v>
      </c>
      <c r="N55" s="5" t="s">
        <v>141</v>
      </c>
    </row>
    <row r="56" spans="1:14" x14ac:dyDescent="0.25">
      <c r="A56" s="2">
        <v>55</v>
      </c>
      <c r="B56" s="8"/>
      <c r="C56" s="5" t="s">
        <v>26</v>
      </c>
      <c r="D56" s="5" t="s">
        <v>19</v>
      </c>
      <c r="E56" s="5" t="s">
        <v>49</v>
      </c>
      <c r="F56" s="5" t="s">
        <v>68</v>
      </c>
      <c r="G56" s="8"/>
      <c r="H56" s="5"/>
      <c r="I56" s="5"/>
      <c r="J56" s="8"/>
      <c r="K56" s="8"/>
      <c r="L56" s="12" t="s">
        <v>102</v>
      </c>
      <c r="M56" s="5" t="s">
        <v>100</v>
      </c>
      <c r="N56" s="5" t="s">
        <v>142</v>
      </c>
    </row>
    <row r="57" spans="1:14" x14ac:dyDescent="0.25">
      <c r="A57" s="2">
        <v>56</v>
      </c>
      <c r="B57" s="8"/>
      <c r="C57" s="5" t="s">
        <v>26</v>
      </c>
      <c r="D57" s="5" t="s">
        <v>19</v>
      </c>
      <c r="E57" s="5" t="s">
        <v>49</v>
      </c>
      <c r="F57" s="5" t="s">
        <v>68</v>
      </c>
      <c r="G57" s="8"/>
      <c r="H57" s="5"/>
      <c r="I57" s="5"/>
      <c r="J57" s="8"/>
      <c r="K57" s="8"/>
      <c r="L57" s="12" t="s">
        <v>102</v>
      </c>
      <c r="M57" s="5" t="s">
        <v>100</v>
      </c>
      <c r="N57" s="5" t="s">
        <v>142</v>
      </c>
    </row>
    <row r="58" spans="1:14" x14ac:dyDescent="0.25">
      <c r="A58" s="2">
        <v>57</v>
      </c>
      <c r="B58" s="8"/>
      <c r="C58" s="5" t="s">
        <v>40</v>
      </c>
      <c r="D58" s="5" t="s">
        <v>19</v>
      </c>
      <c r="E58" s="5" t="s">
        <v>49</v>
      </c>
      <c r="F58" s="5" t="s">
        <v>68</v>
      </c>
      <c r="G58" s="8"/>
      <c r="H58" s="5"/>
      <c r="I58" s="5"/>
      <c r="J58" s="8"/>
      <c r="K58" s="8"/>
      <c r="L58" s="12" t="s">
        <v>102</v>
      </c>
      <c r="M58" s="5" t="s">
        <v>100</v>
      </c>
      <c r="N58" s="5" t="s">
        <v>143</v>
      </c>
    </row>
    <row r="59" spans="1:14" x14ac:dyDescent="0.25">
      <c r="A59" s="2">
        <v>58</v>
      </c>
      <c r="B59" s="8"/>
      <c r="C59" s="5" t="s">
        <v>40</v>
      </c>
      <c r="D59" s="5" t="s">
        <v>19</v>
      </c>
      <c r="E59" s="5" t="s">
        <v>49</v>
      </c>
      <c r="F59" s="5" t="s">
        <v>68</v>
      </c>
      <c r="G59" s="8"/>
      <c r="H59" s="5"/>
      <c r="I59" s="5"/>
      <c r="J59" s="8"/>
      <c r="K59" s="8"/>
      <c r="L59" s="12" t="s">
        <v>102</v>
      </c>
      <c r="M59" s="5" t="s">
        <v>100</v>
      </c>
      <c r="N59" s="5" t="s">
        <v>143</v>
      </c>
    </row>
    <row r="60" spans="1:14" x14ac:dyDescent="0.25">
      <c r="A60" s="2">
        <v>59</v>
      </c>
      <c r="B60" s="8"/>
      <c r="C60" s="5" t="s">
        <v>39</v>
      </c>
      <c r="D60" s="5" t="s">
        <v>19</v>
      </c>
      <c r="E60" s="5" t="s">
        <v>49</v>
      </c>
      <c r="F60" s="5" t="s">
        <v>68</v>
      </c>
      <c r="G60" s="8"/>
      <c r="H60" s="5"/>
      <c r="I60" s="5"/>
      <c r="J60" s="8"/>
      <c r="K60" s="8"/>
      <c r="L60" s="12" t="s">
        <v>102</v>
      </c>
      <c r="M60" s="5" t="s">
        <v>100</v>
      </c>
      <c r="N60" s="5" t="s">
        <v>144</v>
      </c>
    </row>
    <row r="61" spans="1:14" x14ac:dyDescent="0.25">
      <c r="A61" s="2">
        <v>60</v>
      </c>
      <c r="B61" s="8"/>
      <c r="C61" s="5" t="s">
        <v>39</v>
      </c>
      <c r="D61" s="5" t="s">
        <v>19</v>
      </c>
      <c r="E61" s="5" t="s">
        <v>49</v>
      </c>
      <c r="F61" s="5" t="s">
        <v>68</v>
      </c>
      <c r="G61" s="8"/>
      <c r="H61" s="5"/>
      <c r="I61" s="5"/>
      <c r="J61" s="8"/>
      <c r="K61" s="8"/>
      <c r="L61" s="12" t="s">
        <v>102</v>
      </c>
      <c r="M61" s="5" t="s">
        <v>100</v>
      </c>
      <c r="N61" s="5" t="s">
        <v>144</v>
      </c>
    </row>
    <row r="62" spans="1:14" x14ac:dyDescent="0.25">
      <c r="A62" s="2">
        <v>61</v>
      </c>
      <c r="B62" s="8"/>
      <c r="C62" s="5" t="s">
        <v>37</v>
      </c>
      <c r="D62" s="5" t="s">
        <v>19</v>
      </c>
      <c r="E62" s="5" t="s">
        <v>49</v>
      </c>
      <c r="F62" s="5" t="s">
        <v>68</v>
      </c>
      <c r="G62" s="8"/>
      <c r="H62" s="5"/>
      <c r="I62" s="5"/>
      <c r="J62" s="8"/>
      <c r="K62" s="8"/>
      <c r="L62" s="12" t="s">
        <v>102</v>
      </c>
      <c r="M62" s="5" t="s">
        <v>100</v>
      </c>
      <c r="N62" s="5" t="s">
        <v>145</v>
      </c>
    </row>
    <row r="63" spans="1:14" x14ac:dyDescent="0.25">
      <c r="A63" s="2">
        <v>62</v>
      </c>
      <c r="B63" s="8"/>
      <c r="C63" s="5" t="s">
        <v>37</v>
      </c>
      <c r="D63" s="5" t="s">
        <v>19</v>
      </c>
      <c r="E63" s="5" t="s">
        <v>49</v>
      </c>
      <c r="F63" s="5" t="s">
        <v>68</v>
      </c>
      <c r="G63" s="8"/>
      <c r="H63" s="5"/>
      <c r="I63" s="5"/>
      <c r="J63" s="8"/>
      <c r="K63" s="8"/>
      <c r="L63" s="12" t="s">
        <v>102</v>
      </c>
      <c r="M63" s="5" t="s">
        <v>100</v>
      </c>
      <c r="N63" s="5" t="s">
        <v>145</v>
      </c>
    </row>
    <row r="64" spans="1:14" x14ac:dyDescent="0.25">
      <c r="A64" s="2">
        <v>63</v>
      </c>
      <c r="B64" s="8"/>
      <c r="C64" s="5" t="s">
        <v>38</v>
      </c>
      <c r="D64" s="5" t="s">
        <v>19</v>
      </c>
      <c r="E64" s="5" t="s">
        <v>49</v>
      </c>
      <c r="F64" s="5" t="s">
        <v>68</v>
      </c>
      <c r="G64" s="8"/>
      <c r="H64" s="5"/>
      <c r="I64" s="5"/>
      <c r="J64" s="8"/>
      <c r="K64" s="8"/>
      <c r="L64" s="12" t="s">
        <v>102</v>
      </c>
      <c r="M64" s="5" t="s">
        <v>100</v>
      </c>
      <c r="N64" s="5" t="s">
        <v>146</v>
      </c>
    </row>
    <row r="65" spans="1:14" x14ac:dyDescent="0.25">
      <c r="A65" s="2">
        <v>64</v>
      </c>
      <c r="B65" s="8"/>
      <c r="C65" s="5" t="s">
        <v>38</v>
      </c>
      <c r="D65" s="5" t="s">
        <v>19</v>
      </c>
      <c r="E65" s="5" t="s">
        <v>49</v>
      </c>
      <c r="F65" s="5" t="s">
        <v>68</v>
      </c>
      <c r="G65" s="8"/>
      <c r="H65" s="5"/>
      <c r="I65" s="5"/>
      <c r="J65" s="8"/>
      <c r="K65" s="8"/>
      <c r="L65" s="12" t="s">
        <v>102</v>
      </c>
      <c r="M65" s="5" t="s">
        <v>100</v>
      </c>
      <c r="N65" s="5" t="s">
        <v>146</v>
      </c>
    </row>
    <row r="66" spans="1:14" x14ac:dyDescent="0.25">
      <c r="A66" s="2">
        <v>65</v>
      </c>
      <c r="B66" s="8"/>
      <c r="C66" s="5" t="s">
        <v>36</v>
      </c>
      <c r="D66" s="5" t="s">
        <v>19</v>
      </c>
      <c r="E66" s="5" t="s">
        <v>49</v>
      </c>
      <c r="F66" s="5" t="s">
        <v>68</v>
      </c>
      <c r="G66" s="8"/>
      <c r="H66" s="5"/>
      <c r="I66" s="5"/>
      <c r="J66" s="8"/>
      <c r="K66" s="8"/>
      <c r="L66" s="12" t="s">
        <v>102</v>
      </c>
      <c r="M66" s="5" t="s">
        <v>100</v>
      </c>
      <c r="N66" s="5" t="s">
        <v>147</v>
      </c>
    </row>
    <row r="67" spans="1:14" x14ac:dyDescent="0.25">
      <c r="A67" s="2">
        <v>66</v>
      </c>
      <c r="B67" s="8"/>
      <c r="C67" s="5" t="s">
        <v>36</v>
      </c>
      <c r="D67" s="5" t="s">
        <v>19</v>
      </c>
      <c r="E67" s="5" t="s">
        <v>49</v>
      </c>
      <c r="F67" s="5" t="s">
        <v>68</v>
      </c>
      <c r="G67" s="8"/>
      <c r="H67" s="5"/>
      <c r="I67" s="5"/>
      <c r="J67" s="8"/>
      <c r="K67" s="8"/>
      <c r="L67" s="12" t="s">
        <v>102</v>
      </c>
      <c r="M67" s="5" t="s">
        <v>100</v>
      </c>
      <c r="N67" s="5" t="s">
        <v>147</v>
      </c>
    </row>
    <row r="68" spans="1:14" x14ac:dyDescent="0.25">
      <c r="A68" s="2">
        <v>67</v>
      </c>
      <c r="B68" s="8"/>
      <c r="C68" s="5" t="s">
        <v>35</v>
      </c>
      <c r="D68" s="5" t="s">
        <v>19</v>
      </c>
      <c r="E68" s="5" t="s">
        <v>49</v>
      </c>
      <c r="F68" s="5" t="s">
        <v>68</v>
      </c>
      <c r="G68" s="8"/>
      <c r="H68" s="5"/>
      <c r="I68" s="5"/>
      <c r="J68" s="8"/>
      <c r="K68" s="8"/>
      <c r="L68" s="12" t="s">
        <v>102</v>
      </c>
      <c r="M68" s="5" t="s">
        <v>100</v>
      </c>
      <c r="N68" s="5" t="s">
        <v>148</v>
      </c>
    </row>
    <row r="69" spans="1:14" x14ac:dyDescent="0.25">
      <c r="A69" s="2">
        <v>68</v>
      </c>
      <c r="B69" s="8"/>
      <c r="C69" s="5" t="s">
        <v>35</v>
      </c>
      <c r="D69" s="5" t="s">
        <v>19</v>
      </c>
      <c r="E69" s="5" t="s">
        <v>49</v>
      </c>
      <c r="F69" s="5" t="s">
        <v>68</v>
      </c>
      <c r="G69" s="8"/>
      <c r="H69" s="5"/>
      <c r="I69" s="5"/>
      <c r="J69" s="8"/>
      <c r="K69" s="8"/>
      <c r="L69" s="12" t="s">
        <v>102</v>
      </c>
      <c r="M69" s="5" t="s">
        <v>100</v>
      </c>
      <c r="N69" s="5" t="s">
        <v>148</v>
      </c>
    </row>
    <row r="70" spans="1:14" x14ac:dyDescent="0.25">
      <c r="A70" s="2">
        <v>69</v>
      </c>
      <c r="B70" s="8"/>
      <c r="C70" s="5" t="s">
        <v>42</v>
      </c>
      <c r="D70" s="5" t="s">
        <v>41</v>
      </c>
      <c r="E70" s="5" t="s">
        <v>50</v>
      </c>
      <c r="F70" s="5" t="s">
        <v>69</v>
      </c>
      <c r="G70" s="8"/>
      <c r="H70" s="5"/>
      <c r="I70" s="5"/>
      <c r="J70" s="8"/>
      <c r="K70" s="8"/>
      <c r="L70" s="12" t="s">
        <v>102</v>
      </c>
      <c r="M70" s="5" t="s">
        <v>101</v>
      </c>
      <c r="N70" s="5" t="s">
        <v>149</v>
      </c>
    </row>
  </sheetData>
  <hyperlinks>
    <hyperlink ref="L2" r:id="rId1"/>
    <hyperlink ref="L3:L70" r:id="rId2" display="https://ttt-mobileapp.fwh.is/Main/"/>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7"/>
  <sheetViews>
    <sheetView topLeftCell="A7" workbookViewId="0">
      <selection activeCell="B10" sqref="B10:B19"/>
    </sheetView>
  </sheetViews>
  <sheetFormatPr baseColWidth="10" defaultRowHeight="15" x14ac:dyDescent="0.25"/>
  <cols>
    <col min="1" max="1" width="23.140625" customWidth="1"/>
    <col min="2" max="2" width="44" customWidth="1"/>
    <col min="3" max="3" width="61.5703125" customWidth="1"/>
    <col min="4" max="4" width="23.140625" customWidth="1"/>
    <col min="5" max="5" width="44.28515625" customWidth="1"/>
    <col min="6" max="9" width="23.140625" customWidth="1"/>
  </cols>
  <sheetData>
    <row r="1" spans="1:5" ht="16.5" x14ac:dyDescent="0.25">
      <c r="A1" s="14" t="s">
        <v>64</v>
      </c>
      <c r="B1" s="14" t="s">
        <v>52</v>
      </c>
      <c r="C1" s="14" t="s">
        <v>45</v>
      </c>
      <c r="D1" s="14" t="s">
        <v>85</v>
      </c>
      <c r="E1" s="14" t="s">
        <v>44</v>
      </c>
    </row>
    <row r="2" spans="1:5" ht="16.5" x14ac:dyDescent="0.25">
      <c r="A2" s="16">
        <v>10</v>
      </c>
      <c r="B2" s="17" t="s">
        <v>150</v>
      </c>
      <c r="C2" s="15" t="s">
        <v>151</v>
      </c>
      <c r="D2" s="15" t="s">
        <v>158</v>
      </c>
      <c r="E2" s="16" t="s">
        <v>160</v>
      </c>
    </row>
    <row r="3" spans="1:5" ht="16.5" x14ac:dyDescent="0.25">
      <c r="A3" s="16"/>
      <c r="B3" s="17"/>
      <c r="C3" s="13"/>
      <c r="D3" s="15" t="s">
        <v>159</v>
      </c>
      <c r="E3" s="16"/>
    </row>
    <row r="4" spans="1:5" ht="33" x14ac:dyDescent="0.25">
      <c r="A4" s="16"/>
      <c r="B4" s="17"/>
      <c r="C4" s="15" t="s">
        <v>152</v>
      </c>
      <c r="D4" s="15"/>
      <c r="E4" s="16"/>
    </row>
    <row r="5" spans="1:5" ht="16.5" x14ac:dyDescent="0.25">
      <c r="A5" s="16"/>
      <c r="B5" s="17"/>
      <c r="C5" s="15" t="s">
        <v>153</v>
      </c>
      <c r="D5" s="15"/>
      <c r="E5" s="16"/>
    </row>
    <row r="6" spans="1:5" ht="33" x14ac:dyDescent="0.25">
      <c r="A6" s="16"/>
      <c r="B6" s="17"/>
      <c r="C6" s="15" t="s">
        <v>154</v>
      </c>
      <c r="D6" s="15"/>
      <c r="E6" s="16"/>
    </row>
    <row r="7" spans="1:5" ht="16.5" x14ac:dyDescent="0.25">
      <c r="A7" s="16"/>
      <c r="B7" s="17"/>
      <c r="C7" s="15" t="s">
        <v>155</v>
      </c>
      <c r="D7" s="15"/>
      <c r="E7" s="16"/>
    </row>
    <row r="8" spans="1:5" ht="33" x14ac:dyDescent="0.25">
      <c r="A8" s="16"/>
      <c r="B8" s="17"/>
      <c r="C8" s="15" t="s">
        <v>156</v>
      </c>
      <c r="D8" s="15"/>
      <c r="E8" s="16"/>
    </row>
    <row r="9" spans="1:5" ht="33" x14ac:dyDescent="0.25">
      <c r="A9" s="16"/>
      <c r="B9" s="17"/>
      <c r="C9" s="15" t="s">
        <v>157</v>
      </c>
      <c r="D9" s="15"/>
      <c r="E9" s="16"/>
    </row>
    <row r="10" spans="1:5" ht="16.5" x14ac:dyDescent="0.25">
      <c r="A10" s="16">
        <v>11</v>
      </c>
      <c r="B10" s="17" t="s">
        <v>161</v>
      </c>
      <c r="C10" s="15" t="s">
        <v>162</v>
      </c>
      <c r="D10" s="15" t="s">
        <v>171</v>
      </c>
      <c r="E10" s="16"/>
    </row>
    <row r="11" spans="1:5" ht="16.5" x14ac:dyDescent="0.25">
      <c r="A11" s="16"/>
      <c r="B11" s="17"/>
      <c r="C11" s="13"/>
      <c r="D11" s="15" t="s">
        <v>172</v>
      </c>
      <c r="E11" s="16"/>
    </row>
    <row r="12" spans="1:5" ht="33" x14ac:dyDescent="0.25">
      <c r="A12" s="16"/>
      <c r="B12" s="17"/>
      <c r="C12" s="15" t="s">
        <v>163</v>
      </c>
      <c r="D12" s="15" t="s">
        <v>173</v>
      </c>
      <c r="E12" s="16"/>
    </row>
    <row r="13" spans="1:5" ht="16.5" x14ac:dyDescent="0.25">
      <c r="A13" s="16"/>
      <c r="B13" s="17"/>
      <c r="C13" s="15" t="s">
        <v>164</v>
      </c>
      <c r="D13" s="15"/>
      <c r="E13" s="16"/>
    </row>
    <row r="14" spans="1:5" ht="16.5" x14ac:dyDescent="0.25">
      <c r="A14" s="16"/>
      <c r="B14" s="17"/>
      <c r="C14" s="15" t="s">
        <v>165</v>
      </c>
      <c r="D14" s="15"/>
      <c r="E14" s="16"/>
    </row>
    <row r="15" spans="1:5" ht="16.5" x14ac:dyDescent="0.25">
      <c r="A15" s="16"/>
      <c r="B15" s="17"/>
      <c r="C15" s="15" t="s">
        <v>166</v>
      </c>
      <c r="D15" s="15"/>
      <c r="E15" s="16"/>
    </row>
    <row r="16" spans="1:5" ht="16.5" x14ac:dyDescent="0.25">
      <c r="A16" s="16"/>
      <c r="B16" s="17"/>
      <c r="C16" s="15" t="s">
        <v>167</v>
      </c>
      <c r="D16" s="15"/>
      <c r="E16" s="16"/>
    </row>
    <row r="17" spans="1:5" ht="16.5" x14ac:dyDescent="0.25">
      <c r="A17" s="16"/>
      <c r="B17" s="17"/>
      <c r="C17" s="15" t="s">
        <v>168</v>
      </c>
      <c r="D17" s="15"/>
      <c r="E17" s="16"/>
    </row>
    <row r="18" spans="1:5" ht="33" x14ac:dyDescent="0.25">
      <c r="A18" s="16"/>
      <c r="B18" s="17"/>
      <c r="C18" s="15" t="s">
        <v>169</v>
      </c>
      <c r="D18" s="15"/>
      <c r="E18" s="16"/>
    </row>
    <row r="19" spans="1:5" ht="16.5" x14ac:dyDescent="0.25">
      <c r="A19" s="16"/>
      <c r="B19" s="17"/>
      <c r="C19" s="15" t="s">
        <v>170</v>
      </c>
      <c r="D19" s="15"/>
      <c r="E19" s="16"/>
    </row>
    <row r="20" spans="1:5" ht="16.5" x14ac:dyDescent="0.25">
      <c r="A20" s="16">
        <v>12</v>
      </c>
      <c r="B20" s="17" t="s">
        <v>174</v>
      </c>
      <c r="C20" s="15" t="s">
        <v>175</v>
      </c>
      <c r="D20" s="15" t="s">
        <v>171</v>
      </c>
      <c r="E20" s="16"/>
    </row>
    <row r="21" spans="1:5" ht="16.5" x14ac:dyDescent="0.25">
      <c r="A21" s="16"/>
      <c r="B21" s="17"/>
      <c r="C21" s="13"/>
      <c r="D21" s="15" t="s">
        <v>184</v>
      </c>
      <c r="E21" s="16"/>
    </row>
    <row r="22" spans="1:5" ht="33" x14ac:dyDescent="0.25">
      <c r="A22" s="16"/>
      <c r="B22" s="17"/>
      <c r="C22" s="15" t="s">
        <v>176</v>
      </c>
      <c r="D22" s="15" t="s">
        <v>185</v>
      </c>
      <c r="E22" s="16"/>
    </row>
    <row r="23" spans="1:5" ht="16.5" x14ac:dyDescent="0.25">
      <c r="A23" s="16"/>
      <c r="B23" s="17"/>
      <c r="C23" s="15" t="s">
        <v>177</v>
      </c>
      <c r="D23" s="15" t="s">
        <v>186</v>
      </c>
      <c r="E23" s="16"/>
    </row>
    <row r="24" spans="1:5" ht="16.5" x14ac:dyDescent="0.25">
      <c r="A24" s="16"/>
      <c r="B24" s="17"/>
      <c r="C24" s="15" t="s">
        <v>178</v>
      </c>
      <c r="D24" s="15"/>
      <c r="E24" s="16"/>
    </row>
    <row r="25" spans="1:5" ht="16.5" x14ac:dyDescent="0.25">
      <c r="A25" s="16"/>
      <c r="B25" s="17"/>
      <c r="C25" s="15" t="s">
        <v>179</v>
      </c>
      <c r="D25" s="15"/>
      <c r="E25" s="16"/>
    </row>
    <row r="26" spans="1:5" ht="16.5" x14ac:dyDescent="0.25">
      <c r="A26" s="16"/>
      <c r="B26" s="17"/>
      <c r="C26" s="15" t="s">
        <v>180</v>
      </c>
      <c r="D26" s="15"/>
      <c r="E26" s="16"/>
    </row>
    <row r="27" spans="1:5" ht="16.5" x14ac:dyDescent="0.25">
      <c r="A27" s="16"/>
      <c r="B27" s="17"/>
      <c r="C27" s="15" t="s">
        <v>181</v>
      </c>
      <c r="D27" s="15"/>
      <c r="E27" s="16"/>
    </row>
    <row r="28" spans="1:5" ht="16.5" x14ac:dyDescent="0.25">
      <c r="A28" s="16"/>
      <c r="B28" s="17"/>
      <c r="C28" s="15" t="s">
        <v>182</v>
      </c>
      <c r="D28" s="15"/>
      <c r="E28" s="16"/>
    </row>
    <row r="29" spans="1:5" ht="33" x14ac:dyDescent="0.25">
      <c r="A29" s="16"/>
      <c r="B29" s="17"/>
      <c r="C29" s="15" t="s">
        <v>183</v>
      </c>
      <c r="D29" s="15"/>
      <c r="E29" s="16"/>
    </row>
    <row r="30" spans="1:5" ht="16.5" x14ac:dyDescent="0.25">
      <c r="A30" s="16">
        <v>13</v>
      </c>
      <c r="B30" s="17" t="s">
        <v>187</v>
      </c>
      <c r="C30" s="15" t="s">
        <v>188</v>
      </c>
      <c r="D30" s="15" t="s">
        <v>196</v>
      </c>
      <c r="E30" s="16"/>
    </row>
    <row r="31" spans="1:5" ht="16.5" x14ac:dyDescent="0.25">
      <c r="A31" s="16"/>
      <c r="B31" s="17"/>
      <c r="C31" s="13"/>
      <c r="D31" s="15" t="s">
        <v>171</v>
      </c>
      <c r="E31" s="16"/>
    </row>
    <row r="32" spans="1:5" ht="16.5" x14ac:dyDescent="0.25">
      <c r="A32" s="16"/>
      <c r="B32" s="17"/>
      <c r="C32" s="15" t="s">
        <v>189</v>
      </c>
      <c r="D32" s="15" t="s">
        <v>197</v>
      </c>
      <c r="E32" s="16"/>
    </row>
    <row r="33" spans="1:5" ht="16.5" x14ac:dyDescent="0.25">
      <c r="A33" s="16"/>
      <c r="B33" s="17"/>
      <c r="C33" s="15" t="s">
        <v>190</v>
      </c>
      <c r="D33" s="15" t="s">
        <v>198</v>
      </c>
      <c r="E33" s="16"/>
    </row>
    <row r="34" spans="1:5" ht="16.5" x14ac:dyDescent="0.25">
      <c r="A34" s="16"/>
      <c r="B34" s="17"/>
      <c r="C34" s="15" t="s">
        <v>191</v>
      </c>
      <c r="D34" s="15"/>
      <c r="E34" s="16"/>
    </row>
    <row r="35" spans="1:5" ht="16.5" x14ac:dyDescent="0.25">
      <c r="A35" s="16"/>
      <c r="B35" s="17"/>
      <c r="C35" s="15" t="e">
        <f>- "Transfert effectué avec succès"</f>
        <v>#VALUE!</v>
      </c>
      <c r="D35" s="15"/>
      <c r="E35" s="16"/>
    </row>
    <row r="36" spans="1:5" ht="16.5" x14ac:dyDescent="0.25">
      <c r="A36" s="16"/>
      <c r="B36" s="17"/>
      <c r="C36" s="15" t="s">
        <v>192</v>
      </c>
      <c r="D36" s="15"/>
      <c r="E36" s="16"/>
    </row>
    <row r="37" spans="1:5" ht="16.5" x14ac:dyDescent="0.25">
      <c r="A37" s="16"/>
      <c r="B37" s="17"/>
      <c r="C37" s="15" t="s">
        <v>193</v>
      </c>
      <c r="D37" s="15"/>
      <c r="E37" s="16"/>
    </row>
    <row r="38" spans="1:5" ht="16.5" x14ac:dyDescent="0.25">
      <c r="A38" s="16"/>
      <c r="B38" s="17"/>
      <c r="C38" s="15" t="s">
        <v>194</v>
      </c>
      <c r="D38" s="15"/>
      <c r="E38" s="16"/>
    </row>
    <row r="39" spans="1:5" ht="16.5" x14ac:dyDescent="0.25">
      <c r="A39" s="16"/>
      <c r="B39" s="17"/>
      <c r="C39" s="15" t="e">
        <f>- "Nouveau transfert"</f>
        <v>#VALUE!</v>
      </c>
      <c r="D39" s="15"/>
      <c r="E39" s="16"/>
    </row>
    <row r="40" spans="1:5" ht="16.5" x14ac:dyDescent="0.25">
      <c r="A40" s="16"/>
      <c r="B40" s="17"/>
      <c r="C40" s="15" t="e">
        <f>- "Retour à l'accueil"</f>
        <v>#VALUE!</v>
      </c>
      <c r="D40" s="15"/>
      <c r="E40" s="16"/>
    </row>
    <row r="41" spans="1:5" ht="16.5" x14ac:dyDescent="0.25">
      <c r="A41" s="16"/>
      <c r="B41" s="17"/>
      <c r="C41" s="15" t="s">
        <v>195</v>
      </c>
      <c r="D41" s="15"/>
      <c r="E41" s="16"/>
    </row>
    <row r="42" spans="1:5" ht="16.5" x14ac:dyDescent="0.25">
      <c r="A42" s="16">
        <v>14</v>
      </c>
      <c r="B42" s="17" t="s">
        <v>199</v>
      </c>
      <c r="C42" s="15" t="s">
        <v>200</v>
      </c>
      <c r="D42" s="15" t="s">
        <v>209</v>
      </c>
      <c r="E42" s="16" t="s">
        <v>212</v>
      </c>
    </row>
    <row r="43" spans="1:5" ht="16.5" x14ac:dyDescent="0.25">
      <c r="A43" s="16"/>
      <c r="B43" s="17"/>
      <c r="C43" s="13"/>
      <c r="D43" s="15" t="s">
        <v>210</v>
      </c>
      <c r="E43" s="16"/>
    </row>
    <row r="44" spans="1:5" ht="33" x14ac:dyDescent="0.25">
      <c r="A44" s="16"/>
      <c r="B44" s="17"/>
      <c r="C44" s="15" t="s">
        <v>201</v>
      </c>
      <c r="D44" s="15" t="s">
        <v>211</v>
      </c>
      <c r="E44" s="16"/>
    </row>
    <row r="45" spans="1:5" ht="16.5" x14ac:dyDescent="0.25">
      <c r="A45" s="16"/>
      <c r="B45" s="17"/>
      <c r="C45" s="15" t="s">
        <v>202</v>
      </c>
      <c r="D45" s="15"/>
      <c r="E45" s="16"/>
    </row>
    <row r="46" spans="1:5" ht="16.5" x14ac:dyDescent="0.25">
      <c r="A46" s="16"/>
      <c r="B46" s="17"/>
      <c r="C46" s="15" t="s">
        <v>203</v>
      </c>
      <c r="D46" s="15"/>
      <c r="E46" s="16"/>
    </row>
    <row r="47" spans="1:5" ht="16.5" x14ac:dyDescent="0.25">
      <c r="A47" s="16"/>
      <c r="B47" s="17"/>
      <c r="C47" s="15" t="s">
        <v>204</v>
      </c>
      <c r="D47" s="15"/>
      <c r="E47" s="16"/>
    </row>
    <row r="48" spans="1:5" ht="16.5" x14ac:dyDescent="0.25">
      <c r="A48" s="16"/>
      <c r="B48" s="17"/>
      <c r="C48" s="15" t="s">
        <v>205</v>
      </c>
      <c r="D48" s="15"/>
      <c r="E48" s="16"/>
    </row>
    <row r="49" spans="1:5" ht="16.5" x14ac:dyDescent="0.25">
      <c r="A49" s="16"/>
      <c r="B49" s="17"/>
      <c r="C49" s="15" t="s">
        <v>206</v>
      </c>
      <c r="D49" s="15"/>
      <c r="E49" s="16"/>
    </row>
    <row r="50" spans="1:5" ht="16.5" x14ac:dyDescent="0.25">
      <c r="A50" s="16"/>
      <c r="B50" s="17"/>
      <c r="C50" s="15" t="s">
        <v>207</v>
      </c>
      <c r="D50" s="15"/>
      <c r="E50" s="16"/>
    </row>
    <row r="51" spans="1:5" ht="16.5" x14ac:dyDescent="0.25">
      <c r="A51" s="16"/>
      <c r="B51" s="17"/>
      <c r="C51" s="15" t="s">
        <v>208</v>
      </c>
      <c r="D51" s="15"/>
      <c r="E51" s="16"/>
    </row>
    <row r="52" spans="1:5" ht="16.5" x14ac:dyDescent="0.25">
      <c r="A52" s="16">
        <v>15</v>
      </c>
      <c r="B52" s="17" t="s">
        <v>213</v>
      </c>
      <c r="C52" s="15" t="s">
        <v>214</v>
      </c>
      <c r="D52" s="15" t="s">
        <v>222</v>
      </c>
      <c r="E52" s="16"/>
    </row>
    <row r="53" spans="1:5" ht="16.5" x14ac:dyDescent="0.25">
      <c r="A53" s="16"/>
      <c r="B53" s="17"/>
      <c r="C53" s="13"/>
      <c r="D53" s="15" t="s">
        <v>223</v>
      </c>
      <c r="E53" s="16"/>
    </row>
    <row r="54" spans="1:5" ht="33" x14ac:dyDescent="0.25">
      <c r="A54" s="16"/>
      <c r="B54" s="17"/>
      <c r="C54" s="15" t="s">
        <v>215</v>
      </c>
      <c r="D54" s="15" t="s">
        <v>224</v>
      </c>
      <c r="E54" s="16"/>
    </row>
    <row r="55" spans="1:5" ht="33" x14ac:dyDescent="0.25">
      <c r="A55" s="16"/>
      <c r="B55" s="17"/>
      <c r="C55" s="15" t="s">
        <v>216</v>
      </c>
      <c r="D55" s="15"/>
      <c r="E55" s="16"/>
    </row>
    <row r="56" spans="1:5" ht="16.5" x14ac:dyDescent="0.25">
      <c r="A56" s="16"/>
      <c r="B56" s="17"/>
      <c r="C56" s="15" t="s">
        <v>217</v>
      </c>
      <c r="D56" s="15"/>
      <c r="E56" s="16"/>
    </row>
    <row r="57" spans="1:5" ht="16.5" x14ac:dyDescent="0.25">
      <c r="A57" s="16"/>
      <c r="B57" s="17"/>
      <c r="C57" s="15" t="s">
        <v>218</v>
      </c>
      <c r="D57" s="15"/>
      <c r="E57" s="16"/>
    </row>
    <row r="58" spans="1:5" ht="16.5" x14ac:dyDescent="0.25">
      <c r="A58" s="16"/>
      <c r="B58" s="17"/>
      <c r="C58" s="15" t="s">
        <v>219</v>
      </c>
      <c r="D58" s="15"/>
      <c r="E58" s="16"/>
    </row>
    <row r="59" spans="1:5" ht="16.5" x14ac:dyDescent="0.25">
      <c r="A59" s="16"/>
      <c r="B59" s="17"/>
      <c r="C59" s="15" t="s">
        <v>220</v>
      </c>
      <c r="D59" s="15"/>
      <c r="E59" s="16"/>
    </row>
    <row r="60" spans="1:5" ht="16.5" x14ac:dyDescent="0.25">
      <c r="A60" s="16"/>
      <c r="B60" s="17"/>
      <c r="C60" s="15" t="s">
        <v>221</v>
      </c>
      <c r="D60" s="15"/>
      <c r="E60" s="16"/>
    </row>
    <row r="61" spans="1:5" ht="16.5" x14ac:dyDescent="0.25">
      <c r="A61" s="16">
        <v>16</v>
      </c>
      <c r="B61" s="17" t="s">
        <v>225</v>
      </c>
      <c r="C61" s="15" t="s">
        <v>226</v>
      </c>
      <c r="D61" s="15" t="s">
        <v>234</v>
      </c>
      <c r="E61" s="16" t="s">
        <v>237</v>
      </c>
    </row>
    <row r="62" spans="1:5" ht="16.5" x14ac:dyDescent="0.25">
      <c r="A62" s="16"/>
      <c r="B62" s="17"/>
      <c r="C62" s="13"/>
      <c r="D62" s="15" t="s">
        <v>235</v>
      </c>
      <c r="E62" s="16"/>
    </row>
    <row r="63" spans="1:5" ht="33" x14ac:dyDescent="0.25">
      <c r="A63" s="16"/>
      <c r="B63" s="17"/>
      <c r="C63" s="15" t="s">
        <v>227</v>
      </c>
      <c r="D63" s="15" t="s">
        <v>236</v>
      </c>
      <c r="E63" s="16"/>
    </row>
    <row r="64" spans="1:5" ht="16.5" x14ac:dyDescent="0.25">
      <c r="A64" s="16"/>
      <c r="B64" s="17"/>
      <c r="C64" s="15" t="s">
        <v>228</v>
      </c>
      <c r="D64" s="15"/>
      <c r="E64" s="16"/>
    </row>
    <row r="65" spans="1:5" ht="16.5" x14ac:dyDescent="0.25">
      <c r="A65" s="16"/>
      <c r="B65" s="17"/>
      <c r="C65" s="15" t="s">
        <v>229</v>
      </c>
      <c r="D65" s="15"/>
      <c r="E65" s="16"/>
    </row>
    <row r="66" spans="1:5" ht="16.5" x14ac:dyDescent="0.25">
      <c r="A66" s="16"/>
      <c r="B66" s="17"/>
      <c r="C66" s="15" t="s">
        <v>230</v>
      </c>
      <c r="D66" s="15"/>
      <c r="E66" s="16"/>
    </row>
    <row r="67" spans="1:5" ht="16.5" x14ac:dyDescent="0.25">
      <c r="A67" s="16"/>
      <c r="B67" s="17"/>
      <c r="C67" s="15" t="s">
        <v>231</v>
      </c>
      <c r="D67" s="15"/>
      <c r="E67" s="16"/>
    </row>
    <row r="68" spans="1:5" ht="16.5" x14ac:dyDescent="0.25">
      <c r="A68" s="16"/>
      <c r="B68" s="17"/>
      <c r="C68" s="15" t="s">
        <v>232</v>
      </c>
      <c r="D68" s="15"/>
      <c r="E68" s="16"/>
    </row>
    <row r="69" spans="1:5" ht="33" x14ac:dyDescent="0.25">
      <c r="A69" s="16"/>
      <c r="B69" s="17"/>
      <c r="C69" s="15" t="s">
        <v>233</v>
      </c>
      <c r="D69" s="15"/>
      <c r="E69" s="16"/>
    </row>
    <row r="70" spans="1:5" ht="16.5" x14ac:dyDescent="0.25">
      <c r="A70" s="16">
        <v>17</v>
      </c>
      <c r="B70" s="17" t="s">
        <v>238</v>
      </c>
      <c r="C70" s="15" t="s">
        <v>239</v>
      </c>
      <c r="D70" s="15" t="s">
        <v>249</v>
      </c>
      <c r="E70" s="16" t="s">
        <v>252</v>
      </c>
    </row>
    <row r="71" spans="1:5" ht="16.5" x14ac:dyDescent="0.25">
      <c r="A71" s="16"/>
      <c r="B71" s="17"/>
      <c r="C71" s="13"/>
      <c r="D71" s="15" t="s">
        <v>250</v>
      </c>
      <c r="E71" s="16"/>
    </row>
    <row r="72" spans="1:5" ht="33" x14ac:dyDescent="0.25">
      <c r="A72" s="16"/>
      <c r="B72" s="17"/>
      <c r="C72" s="15" t="s">
        <v>240</v>
      </c>
      <c r="D72" s="15" t="s">
        <v>234</v>
      </c>
      <c r="E72" s="16"/>
    </row>
    <row r="73" spans="1:5" ht="33" x14ac:dyDescent="0.25">
      <c r="A73" s="16"/>
      <c r="B73" s="17"/>
      <c r="C73" s="15" t="s">
        <v>241</v>
      </c>
      <c r="D73" s="15" t="s">
        <v>251</v>
      </c>
      <c r="E73" s="16"/>
    </row>
    <row r="74" spans="1:5" ht="16.5" x14ac:dyDescent="0.25">
      <c r="A74" s="16"/>
      <c r="B74" s="17"/>
      <c r="C74" s="15" t="s">
        <v>242</v>
      </c>
      <c r="D74" s="15"/>
      <c r="E74" s="16"/>
    </row>
    <row r="75" spans="1:5" ht="16.5" x14ac:dyDescent="0.25">
      <c r="A75" s="16"/>
      <c r="B75" s="17"/>
      <c r="C75" s="15" t="s">
        <v>243</v>
      </c>
      <c r="D75" s="15"/>
      <c r="E75" s="16"/>
    </row>
    <row r="76" spans="1:5" ht="16.5" x14ac:dyDescent="0.25">
      <c r="A76" s="16"/>
      <c r="B76" s="17"/>
      <c r="C76" s="15" t="s">
        <v>244</v>
      </c>
      <c r="D76" s="15"/>
      <c r="E76" s="16"/>
    </row>
    <row r="77" spans="1:5" ht="16.5" x14ac:dyDescent="0.25">
      <c r="A77" s="16"/>
      <c r="B77" s="17"/>
      <c r="C77" s="15" t="s">
        <v>245</v>
      </c>
      <c r="D77" s="15"/>
      <c r="E77" s="16"/>
    </row>
    <row r="78" spans="1:5" ht="16.5" x14ac:dyDescent="0.25">
      <c r="A78" s="16"/>
      <c r="B78" s="17"/>
      <c r="C78" s="15" t="s">
        <v>246</v>
      </c>
      <c r="D78" s="15"/>
      <c r="E78" s="16"/>
    </row>
    <row r="79" spans="1:5" ht="16.5" x14ac:dyDescent="0.25">
      <c r="A79" s="16"/>
      <c r="B79" s="17"/>
      <c r="C79" s="15" t="s">
        <v>247</v>
      </c>
      <c r="D79" s="15"/>
      <c r="E79" s="16"/>
    </row>
    <row r="80" spans="1:5" ht="16.5" x14ac:dyDescent="0.25">
      <c r="A80" s="16"/>
      <c r="B80" s="17"/>
      <c r="C80" s="15" t="s">
        <v>248</v>
      </c>
      <c r="D80" s="15"/>
      <c r="E80" s="16"/>
    </row>
    <row r="81" spans="1:5" ht="16.5" x14ac:dyDescent="0.25">
      <c r="A81" s="16">
        <v>18</v>
      </c>
      <c r="B81" s="17" t="s">
        <v>253</v>
      </c>
      <c r="C81" s="15" t="s">
        <v>254</v>
      </c>
      <c r="D81" s="15" t="s">
        <v>262</v>
      </c>
      <c r="E81" s="16"/>
    </row>
    <row r="82" spans="1:5" ht="16.5" x14ac:dyDescent="0.25">
      <c r="A82" s="16"/>
      <c r="B82" s="17"/>
      <c r="C82" s="13"/>
      <c r="D82" s="15" t="s">
        <v>184</v>
      </c>
      <c r="E82" s="16"/>
    </row>
    <row r="83" spans="1:5" ht="33" x14ac:dyDescent="0.25">
      <c r="A83" s="16"/>
      <c r="B83" s="17"/>
      <c r="C83" s="15" t="s">
        <v>176</v>
      </c>
      <c r="D83" s="15" t="s">
        <v>185</v>
      </c>
      <c r="E83" s="16"/>
    </row>
    <row r="84" spans="1:5" ht="16.5" x14ac:dyDescent="0.25">
      <c r="A84" s="16"/>
      <c r="B84" s="17"/>
      <c r="C84" s="15" t="s">
        <v>255</v>
      </c>
      <c r="D84" s="15" t="s">
        <v>263</v>
      </c>
      <c r="E84" s="16"/>
    </row>
    <row r="85" spans="1:5" ht="16.5" x14ac:dyDescent="0.25">
      <c r="A85" s="16"/>
      <c r="B85" s="17"/>
      <c r="C85" s="15" t="s">
        <v>256</v>
      </c>
      <c r="D85" s="15"/>
      <c r="E85" s="16"/>
    </row>
    <row r="86" spans="1:5" ht="16.5" x14ac:dyDescent="0.25">
      <c r="A86" s="16"/>
      <c r="B86" s="17"/>
      <c r="C86" s="15" t="s">
        <v>257</v>
      </c>
      <c r="D86" s="15"/>
      <c r="E86" s="16"/>
    </row>
    <row r="87" spans="1:5" ht="16.5" x14ac:dyDescent="0.25">
      <c r="A87" s="16"/>
      <c r="B87" s="17"/>
      <c r="C87" s="15" t="s">
        <v>258</v>
      </c>
      <c r="D87" s="15"/>
      <c r="E87" s="16"/>
    </row>
    <row r="88" spans="1:5" ht="16.5" x14ac:dyDescent="0.25">
      <c r="A88" s="16"/>
      <c r="B88" s="17"/>
      <c r="C88" s="15" t="s">
        <v>259</v>
      </c>
      <c r="D88" s="15"/>
      <c r="E88" s="16"/>
    </row>
    <row r="89" spans="1:5" ht="16.5" x14ac:dyDescent="0.25">
      <c r="A89" s="16"/>
      <c r="B89" s="17"/>
      <c r="C89" s="15" t="s">
        <v>260</v>
      </c>
      <c r="D89" s="15"/>
      <c r="E89" s="16"/>
    </row>
    <row r="90" spans="1:5" ht="33" x14ac:dyDescent="0.25">
      <c r="A90" s="16"/>
      <c r="B90" s="17"/>
      <c r="C90" s="15" t="s">
        <v>261</v>
      </c>
      <c r="D90" s="15"/>
      <c r="E90" s="16"/>
    </row>
    <row r="91" spans="1:5" ht="16.5" x14ac:dyDescent="0.25">
      <c r="A91" s="16">
        <v>19</v>
      </c>
      <c r="B91" s="17" t="s">
        <v>264</v>
      </c>
      <c r="C91" s="15" t="s">
        <v>265</v>
      </c>
      <c r="D91" s="15" t="s">
        <v>196</v>
      </c>
      <c r="E91" s="16" t="s">
        <v>272</v>
      </c>
    </row>
    <row r="92" spans="1:5" ht="16.5" x14ac:dyDescent="0.25">
      <c r="A92" s="16"/>
      <c r="B92" s="17"/>
      <c r="C92" s="13"/>
      <c r="D92" s="15" t="s">
        <v>270</v>
      </c>
      <c r="E92" s="16"/>
    </row>
    <row r="93" spans="1:5" ht="33" x14ac:dyDescent="0.25">
      <c r="A93" s="16"/>
      <c r="B93" s="17"/>
      <c r="C93" s="15" t="s">
        <v>266</v>
      </c>
      <c r="D93" s="15" t="s">
        <v>271</v>
      </c>
      <c r="E93" s="16"/>
    </row>
    <row r="94" spans="1:5" ht="16.5" x14ac:dyDescent="0.25">
      <c r="A94" s="16"/>
      <c r="B94" s="17"/>
      <c r="C94" s="15" t="s">
        <v>267</v>
      </c>
      <c r="D94" s="15" t="s">
        <v>198</v>
      </c>
      <c r="E94" s="16"/>
    </row>
    <row r="95" spans="1:5" ht="16.5" x14ac:dyDescent="0.25">
      <c r="A95" s="16"/>
      <c r="B95" s="17"/>
      <c r="C95" s="15" t="s">
        <v>191</v>
      </c>
      <c r="D95" s="15"/>
      <c r="E95" s="16"/>
    </row>
    <row r="96" spans="1:5" ht="16.5" x14ac:dyDescent="0.25">
      <c r="A96" s="16"/>
      <c r="B96" s="17"/>
      <c r="C96" s="15" t="e">
        <f>- "Facture payée avec succès"</f>
        <v>#VALUE!</v>
      </c>
      <c r="D96" s="15"/>
      <c r="E96" s="16"/>
    </row>
    <row r="97" spans="1:5" ht="16.5" x14ac:dyDescent="0.25">
      <c r="A97" s="16"/>
      <c r="B97" s="17"/>
      <c r="C97" s="15" t="s">
        <v>268</v>
      </c>
      <c r="D97" s="15"/>
      <c r="E97" s="16"/>
    </row>
    <row r="98" spans="1:5" ht="16.5" x14ac:dyDescent="0.25">
      <c r="A98" s="16"/>
      <c r="B98" s="17"/>
      <c r="C98" s="15" t="s">
        <v>258</v>
      </c>
      <c r="D98" s="15"/>
      <c r="E98" s="16"/>
    </row>
    <row r="99" spans="1:5" ht="16.5" x14ac:dyDescent="0.25">
      <c r="A99" s="16"/>
      <c r="B99" s="17"/>
      <c r="C99" s="15" t="s">
        <v>194</v>
      </c>
      <c r="D99" s="15"/>
      <c r="E99" s="16"/>
    </row>
    <row r="100" spans="1:5" ht="16.5" x14ac:dyDescent="0.25">
      <c r="A100" s="16"/>
      <c r="B100" s="17"/>
      <c r="C100" s="15" t="e">
        <f>- "Voir la facture"</f>
        <v>#VALUE!</v>
      </c>
      <c r="D100" s="15"/>
      <c r="E100" s="16"/>
    </row>
    <row r="101" spans="1:5" ht="16.5" x14ac:dyDescent="0.25">
      <c r="A101" s="16"/>
      <c r="B101" s="17"/>
      <c r="C101" s="15" t="e">
        <f>- "Payer une autre facture"</f>
        <v>#VALUE!</v>
      </c>
      <c r="D101" s="15"/>
      <c r="E101" s="16"/>
    </row>
    <row r="102" spans="1:5" ht="16.5" x14ac:dyDescent="0.25">
      <c r="A102" s="16"/>
      <c r="B102" s="17"/>
      <c r="C102" s="15" t="e">
        <f>- "Retour à l'accueil"</f>
        <v>#VALUE!</v>
      </c>
      <c r="D102" s="15"/>
      <c r="E102" s="16"/>
    </row>
    <row r="103" spans="1:5" ht="16.5" x14ac:dyDescent="0.25">
      <c r="A103" s="16"/>
      <c r="B103" s="17"/>
      <c r="C103" s="15" t="s">
        <v>269</v>
      </c>
      <c r="D103" s="15"/>
      <c r="E103" s="16"/>
    </row>
    <row r="104" spans="1:5" ht="16.5" x14ac:dyDescent="0.25">
      <c r="A104" s="16">
        <v>20</v>
      </c>
      <c r="B104" s="17" t="s">
        <v>273</v>
      </c>
      <c r="C104" s="15" t="s">
        <v>274</v>
      </c>
      <c r="D104" s="15" t="s">
        <v>281</v>
      </c>
      <c r="E104" s="16" t="s">
        <v>284</v>
      </c>
    </row>
    <row r="105" spans="1:5" ht="16.5" x14ac:dyDescent="0.25">
      <c r="A105" s="16"/>
      <c r="B105" s="17"/>
      <c r="C105" s="13"/>
      <c r="D105" s="15" t="s">
        <v>282</v>
      </c>
      <c r="E105" s="16"/>
    </row>
    <row r="106" spans="1:5" ht="33" x14ac:dyDescent="0.25">
      <c r="A106" s="16"/>
      <c r="B106" s="17"/>
      <c r="C106" s="15" t="s">
        <v>275</v>
      </c>
      <c r="D106" s="15" t="s">
        <v>283</v>
      </c>
      <c r="E106" s="16"/>
    </row>
    <row r="107" spans="1:5" ht="16.5" x14ac:dyDescent="0.25">
      <c r="A107" s="16"/>
      <c r="B107" s="17"/>
      <c r="C107" s="15" t="s">
        <v>276</v>
      </c>
      <c r="D107" s="15"/>
      <c r="E107" s="16"/>
    </row>
    <row r="108" spans="1:5" ht="16.5" x14ac:dyDescent="0.25">
      <c r="A108" s="16"/>
      <c r="B108" s="17"/>
      <c r="C108" s="15" t="s">
        <v>277</v>
      </c>
      <c r="D108" s="15"/>
      <c r="E108" s="16"/>
    </row>
    <row r="109" spans="1:5" ht="16.5" x14ac:dyDescent="0.25">
      <c r="A109" s="16"/>
      <c r="B109" s="17"/>
      <c r="C109" s="15" t="s">
        <v>278</v>
      </c>
      <c r="D109" s="15"/>
      <c r="E109" s="16"/>
    </row>
    <row r="110" spans="1:5" ht="33" x14ac:dyDescent="0.25">
      <c r="A110" s="16"/>
      <c r="B110" s="17"/>
      <c r="C110" s="15" t="s">
        <v>279</v>
      </c>
      <c r="D110" s="15"/>
      <c r="E110" s="16"/>
    </row>
    <row r="111" spans="1:5" ht="16.5" x14ac:dyDescent="0.25">
      <c r="A111" s="16"/>
      <c r="B111" s="17"/>
      <c r="C111" s="15" t="s">
        <v>280</v>
      </c>
      <c r="D111" s="15"/>
      <c r="E111" s="16"/>
    </row>
    <row r="112" spans="1:5" ht="16.5" x14ac:dyDescent="0.25">
      <c r="A112" s="16">
        <v>21</v>
      </c>
      <c r="B112" s="17" t="s">
        <v>285</v>
      </c>
      <c r="C112" s="15" t="s">
        <v>286</v>
      </c>
      <c r="D112" s="15" t="s">
        <v>293</v>
      </c>
      <c r="E112" s="16"/>
    </row>
    <row r="113" spans="1:5" ht="16.5" x14ac:dyDescent="0.25">
      <c r="A113" s="16"/>
      <c r="B113" s="17"/>
      <c r="C113" s="13"/>
      <c r="D113" s="15" t="s">
        <v>294</v>
      </c>
      <c r="E113" s="16"/>
    </row>
    <row r="114" spans="1:5" ht="33" x14ac:dyDescent="0.25">
      <c r="A114" s="16"/>
      <c r="B114" s="17"/>
      <c r="C114" s="15" t="s">
        <v>287</v>
      </c>
      <c r="D114" s="15" t="s">
        <v>295</v>
      </c>
      <c r="E114" s="16"/>
    </row>
    <row r="115" spans="1:5" ht="33" x14ac:dyDescent="0.25">
      <c r="A115" s="16"/>
      <c r="B115" s="17"/>
      <c r="C115" s="15" t="s">
        <v>288</v>
      </c>
      <c r="D115" s="15"/>
      <c r="E115" s="16"/>
    </row>
    <row r="116" spans="1:5" ht="16.5" x14ac:dyDescent="0.25">
      <c r="A116" s="16"/>
      <c r="B116" s="17"/>
      <c r="C116" s="15" t="s">
        <v>289</v>
      </c>
      <c r="D116" s="15"/>
      <c r="E116" s="16"/>
    </row>
    <row r="117" spans="1:5" ht="16.5" x14ac:dyDescent="0.25">
      <c r="A117" s="16"/>
      <c r="B117" s="17"/>
      <c r="C117" s="15" t="s">
        <v>290</v>
      </c>
      <c r="D117" s="15"/>
      <c r="E117" s="16"/>
    </row>
    <row r="118" spans="1:5" ht="16.5" x14ac:dyDescent="0.25">
      <c r="A118" s="16"/>
      <c r="B118" s="17"/>
      <c r="C118" s="15" t="s">
        <v>291</v>
      </c>
      <c r="D118" s="15"/>
      <c r="E118" s="16"/>
    </row>
    <row r="119" spans="1:5" ht="16.5" x14ac:dyDescent="0.25">
      <c r="A119" s="16"/>
      <c r="B119" s="17"/>
      <c r="C119" s="15" t="s">
        <v>292</v>
      </c>
      <c r="D119" s="15"/>
      <c r="E119" s="16"/>
    </row>
    <row r="120" spans="1:5" ht="16.5" x14ac:dyDescent="0.25">
      <c r="A120" s="16">
        <v>22</v>
      </c>
      <c r="B120" s="17" t="s">
        <v>296</v>
      </c>
      <c r="C120" s="15" t="s">
        <v>297</v>
      </c>
      <c r="D120" s="15" t="s">
        <v>305</v>
      </c>
      <c r="E120" s="16"/>
    </row>
    <row r="121" spans="1:5" ht="16.5" x14ac:dyDescent="0.25">
      <c r="A121" s="16"/>
      <c r="B121" s="17"/>
      <c r="C121" s="13"/>
      <c r="D121" s="15" t="s">
        <v>306</v>
      </c>
      <c r="E121" s="16"/>
    </row>
    <row r="122" spans="1:5" ht="33" x14ac:dyDescent="0.25">
      <c r="A122" s="16"/>
      <c r="B122" s="17"/>
      <c r="C122" s="15" t="s">
        <v>298</v>
      </c>
      <c r="D122" s="15" t="s">
        <v>307</v>
      </c>
      <c r="E122" s="16"/>
    </row>
    <row r="123" spans="1:5" ht="16.5" x14ac:dyDescent="0.25">
      <c r="A123" s="16"/>
      <c r="B123" s="17"/>
      <c r="C123" s="15" t="s">
        <v>299</v>
      </c>
      <c r="D123" s="15" t="s">
        <v>308</v>
      </c>
      <c r="E123" s="16"/>
    </row>
    <row r="124" spans="1:5" ht="16.5" x14ac:dyDescent="0.25">
      <c r="A124" s="16"/>
      <c r="B124" s="17"/>
      <c r="C124" s="15" t="s">
        <v>300</v>
      </c>
      <c r="D124" s="15"/>
      <c r="E124" s="16"/>
    </row>
    <row r="125" spans="1:5" ht="16.5" x14ac:dyDescent="0.25">
      <c r="A125" s="16"/>
      <c r="B125" s="17"/>
      <c r="C125" s="15" t="s">
        <v>301</v>
      </c>
      <c r="D125" s="15"/>
      <c r="E125" s="16"/>
    </row>
    <row r="126" spans="1:5" ht="16.5" x14ac:dyDescent="0.25">
      <c r="A126" s="16"/>
      <c r="B126" s="17"/>
      <c r="C126" s="15" t="s">
        <v>302</v>
      </c>
      <c r="D126" s="15"/>
      <c r="E126" s="16"/>
    </row>
    <row r="127" spans="1:5" ht="16.5" x14ac:dyDescent="0.25">
      <c r="A127" s="16"/>
      <c r="B127" s="17"/>
      <c r="C127" s="15" t="s">
        <v>303</v>
      </c>
      <c r="D127" s="15"/>
      <c r="E127" s="16"/>
    </row>
    <row r="128" spans="1:5" ht="16.5" x14ac:dyDescent="0.25">
      <c r="A128" s="16"/>
      <c r="B128" s="17"/>
      <c r="C128" s="15" t="s">
        <v>304</v>
      </c>
      <c r="D128" s="15"/>
      <c r="E128" s="16"/>
    </row>
    <row r="129" spans="1:5" ht="16.5" x14ac:dyDescent="0.25">
      <c r="A129" s="16">
        <v>23</v>
      </c>
      <c r="B129" s="17" t="s">
        <v>309</v>
      </c>
      <c r="C129" s="15" t="s">
        <v>310</v>
      </c>
      <c r="D129" s="15" t="s">
        <v>319</v>
      </c>
      <c r="E129" s="16"/>
    </row>
    <row r="130" spans="1:5" ht="16.5" x14ac:dyDescent="0.25">
      <c r="A130" s="16"/>
      <c r="B130" s="17"/>
      <c r="C130" s="13"/>
      <c r="D130" s="15" t="s">
        <v>320</v>
      </c>
      <c r="E130" s="16"/>
    </row>
    <row r="131" spans="1:5" ht="33" x14ac:dyDescent="0.25">
      <c r="A131" s="16"/>
      <c r="B131" s="17"/>
      <c r="C131" s="15" t="s">
        <v>311</v>
      </c>
      <c r="D131" s="15" t="s">
        <v>321</v>
      </c>
      <c r="E131" s="16"/>
    </row>
    <row r="132" spans="1:5" ht="16.5" x14ac:dyDescent="0.25">
      <c r="A132" s="16"/>
      <c r="B132" s="17"/>
      <c r="C132" s="15" t="s">
        <v>312</v>
      </c>
      <c r="D132" s="15" t="s">
        <v>322</v>
      </c>
      <c r="E132" s="16"/>
    </row>
    <row r="133" spans="1:5" ht="16.5" x14ac:dyDescent="0.25">
      <c r="A133" s="16"/>
      <c r="B133" s="17"/>
      <c r="C133" s="15" t="s">
        <v>313</v>
      </c>
      <c r="D133" s="15"/>
      <c r="E133" s="16"/>
    </row>
    <row r="134" spans="1:5" ht="16.5" x14ac:dyDescent="0.25">
      <c r="A134" s="16"/>
      <c r="B134" s="17"/>
      <c r="C134" s="15" t="s">
        <v>314</v>
      </c>
      <c r="D134" s="15"/>
      <c r="E134" s="16"/>
    </row>
    <row r="135" spans="1:5" ht="16.5" x14ac:dyDescent="0.25">
      <c r="A135" s="16"/>
      <c r="B135" s="17"/>
      <c r="C135" s="15" t="s">
        <v>315</v>
      </c>
      <c r="D135" s="15"/>
      <c r="E135" s="16"/>
    </row>
    <row r="136" spans="1:5" ht="16.5" x14ac:dyDescent="0.25">
      <c r="A136" s="16"/>
      <c r="B136" s="17"/>
      <c r="C136" s="15" t="s">
        <v>316</v>
      </c>
      <c r="D136" s="15"/>
      <c r="E136" s="16"/>
    </row>
    <row r="137" spans="1:5" ht="16.5" x14ac:dyDescent="0.25">
      <c r="A137" s="16"/>
      <c r="B137" s="17"/>
      <c r="C137" s="15" t="s">
        <v>317</v>
      </c>
      <c r="D137" s="15"/>
      <c r="E137" s="16"/>
    </row>
    <row r="138" spans="1:5" ht="33" x14ac:dyDescent="0.25">
      <c r="A138" s="16"/>
      <c r="B138" s="17"/>
      <c r="C138" s="15" t="s">
        <v>318</v>
      </c>
      <c r="D138" s="15"/>
      <c r="E138" s="16"/>
    </row>
    <row r="139" spans="1:5" ht="16.5" x14ac:dyDescent="0.25">
      <c r="A139" s="16">
        <v>24</v>
      </c>
      <c r="B139" s="17" t="s">
        <v>323</v>
      </c>
      <c r="C139" s="15" t="s">
        <v>324</v>
      </c>
      <c r="D139" s="15" t="s">
        <v>305</v>
      </c>
      <c r="E139" s="16"/>
    </row>
    <row r="140" spans="1:5" ht="16.5" x14ac:dyDescent="0.25">
      <c r="A140" s="16"/>
      <c r="B140" s="17"/>
      <c r="C140" s="13"/>
      <c r="D140" s="15" t="s">
        <v>329</v>
      </c>
      <c r="E140" s="16"/>
    </row>
    <row r="141" spans="1:5" ht="33" x14ac:dyDescent="0.25">
      <c r="A141" s="16"/>
      <c r="B141" s="17"/>
      <c r="C141" s="15" t="s">
        <v>325</v>
      </c>
      <c r="D141" s="15" t="s">
        <v>330</v>
      </c>
      <c r="E141" s="16"/>
    </row>
    <row r="142" spans="1:5" ht="16.5" x14ac:dyDescent="0.25">
      <c r="A142" s="16"/>
      <c r="B142" s="17"/>
      <c r="C142" s="15" t="s">
        <v>326</v>
      </c>
      <c r="D142" s="15" t="s">
        <v>331</v>
      </c>
      <c r="E142" s="16"/>
    </row>
    <row r="143" spans="1:5" ht="16.5" x14ac:dyDescent="0.25">
      <c r="A143" s="16"/>
      <c r="B143" s="17"/>
      <c r="C143" s="15" t="s">
        <v>191</v>
      </c>
      <c r="D143" s="15"/>
      <c r="E143" s="16"/>
    </row>
    <row r="144" spans="1:5" ht="16.5" x14ac:dyDescent="0.25">
      <c r="A144" s="16"/>
      <c r="B144" s="17"/>
      <c r="C144" s="15" t="e">
        <f>- "Votre abonnement a été activé"</f>
        <v>#VALUE!</v>
      </c>
      <c r="D144" s="15"/>
      <c r="E144" s="16"/>
    </row>
    <row r="145" spans="1:5" ht="16.5" x14ac:dyDescent="0.25">
      <c r="A145" s="16"/>
      <c r="B145" s="17"/>
      <c r="C145" s="15" t="s">
        <v>327</v>
      </c>
      <c r="D145" s="15"/>
      <c r="E145" s="16"/>
    </row>
    <row r="146" spans="1:5" ht="16.5" x14ac:dyDescent="0.25">
      <c r="A146" s="16"/>
      <c r="B146" s="17"/>
      <c r="C146" s="15" t="s">
        <v>328</v>
      </c>
      <c r="D146" s="15"/>
      <c r="E146" s="16"/>
    </row>
    <row r="147" spans="1:5" ht="16.5" x14ac:dyDescent="0.25">
      <c r="A147" s="16"/>
      <c r="B147" s="17"/>
      <c r="C147" s="15" t="s">
        <v>194</v>
      </c>
      <c r="D147" s="15"/>
      <c r="E147" s="16"/>
    </row>
    <row r="148" spans="1:5" ht="16.5" x14ac:dyDescent="0.25">
      <c r="A148" s="16"/>
      <c r="B148" s="17"/>
      <c r="C148" s="15" t="e">
        <f>- "Gérer mon abonnement"</f>
        <v>#VALUE!</v>
      </c>
      <c r="D148" s="15"/>
      <c r="E148" s="16"/>
    </row>
    <row r="149" spans="1:5" ht="16.5" x14ac:dyDescent="0.25">
      <c r="A149" s="16"/>
      <c r="B149" s="17"/>
      <c r="C149" s="15" t="e">
        <f>- "Autres services"</f>
        <v>#VALUE!</v>
      </c>
      <c r="D149" s="15"/>
      <c r="E149" s="16"/>
    </row>
    <row r="150" spans="1:5" ht="16.5" x14ac:dyDescent="0.25">
      <c r="A150" s="16"/>
      <c r="B150" s="17"/>
      <c r="C150" s="15" t="e">
        <f>- "Retour à l'accueil"</f>
        <v>#VALUE!</v>
      </c>
      <c r="D150" s="15"/>
      <c r="E150" s="16"/>
    </row>
    <row r="151" spans="1:5" ht="16.5" x14ac:dyDescent="0.25">
      <c r="A151" s="19" t="s">
        <v>64</v>
      </c>
      <c r="B151" s="19" t="s">
        <v>52</v>
      </c>
      <c r="C151" s="19" t="s">
        <v>45</v>
      </c>
      <c r="D151" s="19" t="s">
        <v>85</v>
      </c>
      <c r="E151" s="19" t="s">
        <v>44</v>
      </c>
    </row>
    <row r="152" spans="1:5" ht="16.5" x14ac:dyDescent="0.25">
      <c r="A152" s="21" t="s">
        <v>332</v>
      </c>
      <c r="B152" s="22" t="s">
        <v>333</v>
      </c>
      <c r="C152" s="20" t="s">
        <v>334</v>
      </c>
      <c r="D152" s="20" t="s">
        <v>343</v>
      </c>
      <c r="E152" s="21" t="s">
        <v>347</v>
      </c>
    </row>
    <row r="153" spans="1:5" ht="16.5" x14ac:dyDescent="0.25">
      <c r="A153" s="21"/>
      <c r="B153" s="22"/>
      <c r="C153" s="18"/>
      <c r="D153" s="20" t="s">
        <v>344</v>
      </c>
      <c r="E153" s="21"/>
    </row>
    <row r="154" spans="1:5" ht="33" x14ac:dyDescent="0.25">
      <c r="A154" s="21"/>
      <c r="B154" s="22"/>
      <c r="C154" s="20" t="s">
        <v>335</v>
      </c>
      <c r="D154" s="20" t="s">
        <v>345</v>
      </c>
      <c r="E154" s="21"/>
    </row>
    <row r="155" spans="1:5" ht="16.5" x14ac:dyDescent="0.25">
      <c r="A155" s="21"/>
      <c r="B155" s="22"/>
      <c r="C155" s="20" t="s">
        <v>336</v>
      </c>
      <c r="D155" s="20" t="s">
        <v>346</v>
      </c>
      <c r="E155" s="21"/>
    </row>
    <row r="156" spans="1:5" ht="16.5" x14ac:dyDescent="0.25">
      <c r="A156" s="21"/>
      <c r="B156" s="22"/>
      <c r="C156" s="20" t="s">
        <v>337</v>
      </c>
      <c r="D156" s="20"/>
      <c r="E156" s="21"/>
    </row>
    <row r="157" spans="1:5" ht="16.5" x14ac:dyDescent="0.25">
      <c r="A157" s="21"/>
      <c r="B157" s="22"/>
      <c r="C157" s="20" t="s">
        <v>338</v>
      </c>
      <c r="D157" s="20"/>
      <c r="E157" s="21"/>
    </row>
    <row r="158" spans="1:5" ht="16.5" x14ac:dyDescent="0.25">
      <c r="A158" s="21"/>
      <c r="B158" s="22"/>
      <c r="C158" s="20" t="s">
        <v>339</v>
      </c>
      <c r="D158" s="20"/>
      <c r="E158" s="21"/>
    </row>
    <row r="159" spans="1:5" ht="16.5" x14ac:dyDescent="0.25">
      <c r="A159" s="21"/>
      <c r="B159" s="22"/>
      <c r="C159" s="20" t="s">
        <v>340</v>
      </c>
      <c r="D159" s="20"/>
      <c r="E159" s="21"/>
    </row>
    <row r="160" spans="1:5" ht="16.5" x14ac:dyDescent="0.25">
      <c r="A160" s="21"/>
      <c r="B160" s="22"/>
      <c r="C160" s="20" t="s">
        <v>341</v>
      </c>
      <c r="D160" s="20"/>
      <c r="E160" s="21"/>
    </row>
    <row r="161" spans="1:5" ht="33" x14ac:dyDescent="0.25">
      <c r="A161" s="21"/>
      <c r="B161" s="22"/>
      <c r="C161" s="20" t="s">
        <v>342</v>
      </c>
      <c r="D161" s="20"/>
      <c r="E161" s="21"/>
    </row>
    <row r="162" spans="1:5" ht="16.5" x14ac:dyDescent="0.25">
      <c r="A162" s="21" t="s">
        <v>348</v>
      </c>
      <c r="B162" s="22" t="s">
        <v>349</v>
      </c>
      <c r="C162" s="20" t="s">
        <v>350</v>
      </c>
      <c r="D162" s="20" t="s">
        <v>358</v>
      </c>
      <c r="E162" s="21"/>
    </row>
    <row r="163" spans="1:5" ht="16.5" x14ac:dyDescent="0.25">
      <c r="A163" s="21"/>
      <c r="B163" s="22"/>
      <c r="C163" s="18"/>
      <c r="D163" s="20" t="s">
        <v>359</v>
      </c>
      <c r="E163" s="21"/>
    </row>
    <row r="164" spans="1:5" ht="33" x14ac:dyDescent="0.25">
      <c r="A164" s="21"/>
      <c r="B164" s="22"/>
      <c r="C164" s="20" t="s">
        <v>351</v>
      </c>
      <c r="D164" s="20" t="s">
        <v>360</v>
      </c>
      <c r="E164" s="21"/>
    </row>
    <row r="165" spans="1:5" ht="16.5" x14ac:dyDescent="0.25">
      <c r="A165" s="21"/>
      <c r="B165" s="22"/>
      <c r="C165" s="20" t="s">
        <v>352</v>
      </c>
      <c r="D165" s="20"/>
      <c r="E165" s="21"/>
    </row>
    <row r="166" spans="1:5" ht="16.5" x14ac:dyDescent="0.25">
      <c r="A166" s="21"/>
      <c r="B166" s="22"/>
      <c r="C166" s="20" t="s">
        <v>353</v>
      </c>
      <c r="D166" s="20"/>
      <c r="E166" s="21"/>
    </row>
    <row r="167" spans="1:5" ht="16.5" x14ac:dyDescent="0.25">
      <c r="A167" s="21"/>
      <c r="B167" s="22"/>
      <c r="C167" s="20" t="s">
        <v>354</v>
      </c>
      <c r="D167" s="20"/>
      <c r="E167" s="21"/>
    </row>
    <row r="168" spans="1:5" ht="16.5" x14ac:dyDescent="0.25">
      <c r="A168" s="21"/>
      <c r="B168" s="22"/>
      <c r="C168" s="20" t="s">
        <v>355</v>
      </c>
      <c r="D168" s="20"/>
      <c r="E168" s="21"/>
    </row>
    <row r="169" spans="1:5" ht="16.5" x14ac:dyDescent="0.25">
      <c r="A169" s="21"/>
      <c r="B169" s="22"/>
      <c r="C169" s="20" t="s">
        <v>356</v>
      </c>
      <c r="D169" s="20"/>
      <c r="E169" s="21"/>
    </row>
    <row r="170" spans="1:5" ht="16.5" x14ac:dyDescent="0.25">
      <c r="A170" s="21"/>
      <c r="B170" s="22"/>
      <c r="C170" s="20" t="s">
        <v>357</v>
      </c>
      <c r="D170" s="20"/>
      <c r="E170" s="21"/>
    </row>
    <row r="171" spans="1:5" ht="16.5" x14ac:dyDescent="0.25">
      <c r="A171" s="21" t="s">
        <v>361</v>
      </c>
      <c r="B171" s="22" t="s">
        <v>362</v>
      </c>
      <c r="C171" s="20" t="s">
        <v>363</v>
      </c>
      <c r="D171" s="20" t="s">
        <v>373</v>
      </c>
      <c r="E171" s="21"/>
    </row>
    <row r="172" spans="1:5" ht="16.5" x14ac:dyDescent="0.25">
      <c r="A172" s="21"/>
      <c r="B172" s="22"/>
      <c r="C172" s="18"/>
      <c r="D172" s="20" t="s">
        <v>374</v>
      </c>
      <c r="E172" s="21"/>
    </row>
    <row r="173" spans="1:5" ht="16.5" x14ac:dyDescent="0.25">
      <c r="A173" s="21"/>
      <c r="B173" s="22"/>
      <c r="C173" s="20" t="s">
        <v>364</v>
      </c>
      <c r="D173" s="20" t="s">
        <v>375</v>
      </c>
      <c r="E173" s="21"/>
    </row>
    <row r="174" spans="1:5" ht="16.5" x14ac:dyDescent="0.25">
      <c r="A174" s="21"/>
      <c r="B174" s="22"/>
      <c r="C174" s="20" t="s">
        <v>365</v>
      </c>
      <c r="D174" s="20" t="s">
        <v>376</v>
      </c>
      <c r="E174" s="21"/>
    </row>
    <row r="175" spans="1:5" ht="16.5" x14ac:dyDescent="0.25">
      <c r="A175" s="21"/>
      <c r="B175" s="22"/>
      <c r="C175" s="20" t="s">
        <v>353</v>
      </c>
      <c r="D175" s="20" t="s">
        <v>377</v>
      </c>
      <c r="E175" s="21"/>
    </row>
    <row r="176" spans="1:5" ht="16.5" x14ac:dyDescent="0.25">
      <c r="A176" s="21"/>
      <c r="B176" s="22"/>
      <c r="C176" s="20" t="s">
        <v>366</v>
      </c>
      <c r="D176" s="20" t="s">
        <v>378</v>
      </c>
      <c r="E176" s="21"/>
    </row>
    <row r="177" spans="1:5" ht="16.5" x14ac:dyDescent="0.25">
      <c r="A177" s="21"/>
      <c r="B177" s="22"/>
      <c r="C177" s="20" t="s">
        <v>367</v>
      </c>
      <c r="D177" s="20"/>
      <c r="E177" s="21"/>
    </row>
    <row r="178" spans="1:5" ht="16.5" x14ac:dyDescent="0.25">
      <c r="A178" s="21"/>
      <c r="B178" s="22"/>
      <c r="C178" s="20" t="s">
        <v>368</v>
      </c>
      <c r="D178" s="20"/>
      <c r="E178" s="21"/>
    </row>
    <row r="179" spans="1:5" ht="16.5" x14ac:dyDescent="0.25">
      <c r="A179" s="21"/>
      <c r="B179" s="22"/>
      <c r="C179" s="20" t="s">
        <v>369</v>
      </c>
      <c r="D179" s="20"/>
      <c r="E179" s="21"/>
    </row>
    <row r="180" spans="1:5" ht="16.5" x14ac:dyDescent="0.25">
      <c r="A180" s="21"/>
      <c r="B180" s="22"/>
      <c r="C180" s="20" t="s">
        <v>370</v>
      </c>
      <c r="D180" s="20"/>
      <c r="E180" s="21"/>
    </row>
    <row r="181" spans="1:5" ht="16.5" x14ac:dyDescent="0.25">
      <c r="A181" s="21"/>
      <c r="B181" s="22"/>
      <c r="C181" s="20" t="s">
        <v>371</v>
      </c>
      <c r="D181" s="20"/>
      <c r="E181" s="21"/>
    </row>
    <row r="182" spans="1:5" ht="16.5" x14ac:dyDescent="0.25">
      <c r="A182" s="21"/>
      <c r="B182" s="22"/>
      <c r="C182" s="20" t="s">
        <v>372</v>
      </c>
      <c r="D182" s="20"/>
      <c r="E182" s="21"/>
    </row>
    <row r="183" spans="1:5" ht="16.5" x14ac:dyDescent="0.25">
      <c r="A183" s="21" t="s">
        <v>379</v>
      </c>
      <c r="B183" s="22" t="s">
        <v>380</v>
      </c>
      <c r="C183" s="20" t="s">
        <v>381</v>
      </c>
      <c r="D183" s="20" t="s">
        <v>390</v>
      </c>
      <c r="E183" s="21"/>
    </row>
    <row r="184" spans="1:5" ht="16.5" x14ac:dyDescent="0.25">
      <c r="A184" s="21"/>
      <c r="B184" s="22"/>
      <c r="C184" s="18"/>
      <c r="D184" s="20" t="s">
        <v>391</v>
      </c>
      <c r="E184" s="21"/>
    </row>
    <row r="185" spans="1:5" ht="16.5" x14ac:dyDescent="0.25">
      <c r="A185" s="21"/>
      <c r="B185" s="22"/>
      <c r="C185" s="20" t="s">
        <v>382</v>
      </c>
      <c r="D185" s="20" t="s">
        <v>392</v>
      </c>
      <c r="E185" s="21"/>
    </row>
    <row r="186" spans="1:5" ht="33" x14ac:dyDescent="0.25">
      <c r="A186" s="21"/>
      <c r="B186" s="22"/>
      <c r="C186" s="20" t="s">
        <v>383</v>
      </c>
      <c r="D186" s="20"/>
      <c r="E186" s="21"/>
    </row>
    <row r="187" spans="1:5" ht="16.5" x14ac:dyDescent="0.25">
      <c r="A187" s="21"/>
      <c r="B187" s="22"/>
      <c r="C187" s="20" t="s">
        <v>384</v>
      </c>
      <c r="D187" s="20"/>
      <c r="E187" s="21"/>
    </row>
    <row r="188" spans="1:5" ht="16.5" x14ac:dyDescent="0.25">
      <c r="A188" s="21"/>
      <c r="B188" s="22"/>
      <c r="C188" s="20" t="s">
        <v>385</v>
      </c>
      <c r="D188" s="20"/>
      <c r="E188" s="21"/>
    </row>
    <row r="189" spans="1:5" ht="16.5" x14ac:dyDescent="0.25">
      <c r="A189" s="21"/>
      <c r="B189" s="22"/>
      <c r="C189" s="20" t="s">
        <v>386</v>
      </c>
      <c r="D189" s="20"/>
      <c r="E189" s="21"/>
    </row>
    <row r="190" spans="1:5" ht="16.5" x14ac:dyDescent="0.25">
      <c r="A190" s="21"/>
      <c r="B190" s="22"/>
      <c r="C190" s="20" t="s">
        <v>387</v>
      </c>
      <c r="D190" s="20"/>
      <c r="E190" s="21"/>
    </row>
    <row r="191" spans="1:5" ht="16.5" x14ac:dyDescent="0.25">
      <c r="A191" s="21"/>
      <c r="B191" s="22"/>
      <c r="C191" s="20" t="s">
        <v>388</v>
      </c>
      <c r="D191" s="20"/>
      <c r="E191" s="21"/>
    </row>
    <row r="192" spans="1:5" ht="16.5" x14ac:dyDescent="0.25">
      <c r="A192" s="21"/>
      <c r="B192" s="22"/>
      <c r="C192" s="20" t="s">
        <v>389</v>
      </c>
      <c r="D192" s="20"/>
      <c r="E192" s="21"/>
    </row>
    <row r="193" spans="1:5" ht="16.5" x14ac:dyDescent="0.25">
      <c r="A193" s="21" t="s">
        <v>393</v>
      </c>
      <c r="B193" s="22" t="s">
        <v>394</v>
      </c>
      <c r="C193" s="20" t="s">
        <v>395</v>
      </c>
      <c r="D193" s="20" t="s">
        <v>404</v>
      </c>
      <c r="E193" s="21"/>
    </row>
    <row r="194" spans="1:5" ht="16.5" x14ac:dyDescent="0.25">
      <c r="A194" s="21"/>
      <c r="B194" s="22"/>
      <c r="C194" s="18"/>
      <c r="D194" s="20" t="s">
        <v>405</v>
      </c>
      <c r="E194" s="21"/>
    </row>
    <row r="195" spans="1:5" ht="16.5" x14ac:dyDescent="0.25">
      <c r="A195" s="21"/>
      <c r="B195" s="22"/>
      <c r="C195" s="20" t="s">
        <v>396</v>
      </c>
      <c r="D195" s="20" t="s">
        <v>406</v>
      </c>
      <c r="E195" s="21"/>
    </row>
    <row r="196" spans="1:5" ht="16.5" x14ac:dyDescent="0.25">
      <c r="A196" s="21"/>
      <c r="B196" s="22"/>
      <c r="C196" s="20" t="s">
        <v>397</v>
      </c>
      <c r="D196" s="20" t="s">
        <v>407</v>
      </c>
      <c r="E196" s="21"/>
    </row>
    <row r="197" spans="1:5" ht="16.5" x14ac:dyDescent="0.25">
      <c r="A197" s="21"/>
      <c r="B197" s="22"/>
      <c r="C197" s="20" t="s">
        <v>398</v>
      </c>
      <c r="D197" s="20" t="s">
        <v>408</v>
      </c>
      <c r="E197" s="21"/>
    </row>
    <row r="198" spans="1:5" ht="16.5" x14ac:dyDescent="0.25">
      <c r="A198" s="21"/>
      <c r="B198" s="22"/>
      <c r="C198" s="20" t="s">
        <v>386</v>
      </c>
      <c r="D198" s="20"/>
      <c r="E198" s="21"/>
    </row>
    <row r="199" spans="1:5" ht="16.5" x14ac:dyDescent="0.25">
      <c r="A199" s="21"/>
      <c r="B199" s="22"/>
      <c r="C199" s="20" t="s">
        <v>399</v>
      </c>
      <c r="D199" s="20"/>
      <c r="E199" s="21"/>
    </row>
    <row r="200" spans="1:5" ht="16.5" x14ac:dyDescent="0.25">
      <c r="A200" s="21"/>
      <c r="B200" s="22"/>
      <c r="C200" s="20" t="s">
        <v>400</v>
      </c>
      <c r="D200" s="20"/>
      <c r="E200" s="21"/>
    </row>
    <row r="201" spans="1:5" ht="16.5" x14ac:dyDescent="0.25">
      <c r="A201" s="21"/>
      <c r="B201" s="22"/>
      <c r="C201" s="20" t="s">
        <v>401</v>
      </c>
      <c r="D201" s="20"/>
      <c r="E201" s="21"/>
    </row>
    <row r="202" spans="1:5" ht="16.5" x14ac:dyDescent="0.25">
      <c r="A202" s="21"/>
      <c r="B202" s="22"/>
      <c r="C202" s="20" t="s">
        <v>402</v>
      </c>
      <c r="D202" s="20"/>
      <c r="E202" s="21"/>
    </row>
    <row r="203" spans="1:5" ht="16.5" x14ac:dyDescent="0.25">
      <c r="A203" s="21"/>
      <c r="B203" s="22"/>
      <c r="C203" s="20" t="s">
        <v>403</v>
      </c>
      <c r="D203" s="20"/>
      <c r="E203" s="21"/>
    </row>
    <row r="204" spans="1:5" ht="16.5" x14ac:dyDescent="0.25">
      <c r="A204" s="21" t="s">
        <v>409</v>
      </c>
      <c r="B204" s="22" t="s">
        <v>410</v>
      </c>
      <c r="C204" s="20" t="s">
        <v>411</v>
      </c>
      <c r="D204" s="20" t="s">
        <v>420</v>
      </c>
      <c r="E204" s="21"/>
    </row>
    <row r="205" spans="1:5" ht="16.5" x14ac:dyDescent="0.25">
      <c r="A205" s="21"/>
      <c r="B205" s="22"/>
      <c r="C205" s="18"/>
      <c r="D205" s="20" t="s">
        <v>421</v>
      </c>
      <c r="E205" s="21"/>
    </row>
    <row r="206" spans="1:5" ht="33" x14ac:dyDescent="0.25">
      <c r="A206" s="21"/>
      <c r="B206" s="22"/>
      <c r="C206" s="20" t="s">
        <v>412</v>
      </c>
      <c r="D206" s="20" t="s">
        <v>422</v>
      </c>
      <c r="E206" s="21"/>
    </row>
    <row r="207" spans="1:5" ht="16.5" x14ac:dyDescent="0.25">
      <c r="A207" s="21"/>
      <c r="B207" s="22"/>
      <c r="C207" s="20" t="s">
        <v>413</v>
      </c>
      <c r="D207" s="20" t="s">
        <v>423</v>
      </c>
      <c r="E207" s="21"/>
    </row>
    <row r="208" spans="1:5" ht="16.5" x14ac:dyDescent="0.25">
      <c r="A208" s="21"/>
      <c r="B208" s="22"/>
      <c r="C208" s="20" t="s">
        <v>414</v>
      </c>
      <c r="D208" s="20" t="s">
        <v>424</v>
      </c>
      <c r="E208" s="21"/>
    </row>
    <row r="209" spans="1:5" ht="16.5" x14ac:dyDescent="0.25">
      <c r="A209" s="21"/>
      <c r="B209" s="22"/>
      <c r="C209" s="20" t="s">
        <v>415</v>
      </c>
      <c r="D209" s="20"/>
      <c r="E209" s="21"/>
    </row>
    <row r="210" spans="1:5" ht="16.5" x14ac:dyDescent="0.25">
      <c r="A210" s="21"/>
      <c r="B210" s="22"/>
      <c r="C210" s="20" t="s">
        <v>416</v>
      </c>
      <c r="D210" s="20"/>
      <c r="E210" s="21"/>
    </row>
    <row r="211" spans="1:5" ht="16.5" x14ac:dyDescent="0.25">
      <c r="A211" s="21"/>
      <c r="B211" s="22"/>
      <c r="C211" s="20" t="s">
        <v>417</v>
      </c>
      <c r="D211" s="20"/>
      <c r="E211" s="21"/>
    </row>
    <row r="212" spans="1:5" ht="16.5" x14ac:dyDescent="0.25">
      <c r="A212" s="21"/>
      <c r="B212" s="22"/>
      <c r="C212" s="20" t="s">
        <v>418</v>
      </c>
      <c r="D212" s="20"/>
      <c r="E212" s="21"/>
    </row>
    <row r="213" spans="1:5" ht="33" x14ac:dyDescent="0.25">
      <c r="A213" s="21"/>
      <c r="B213" s="22"/>
      <c r="C213" s="20" t="s">
        <v>419</v>
      </c>
      <c r="D213" s="20"/>
      <c r="E213" s="21"/>
    </row>
    <row r="214" spans="1:5" ht="16.5" x14ac:dyDescent="0.25">
      <c r="A214" s="21" t="s">
        <v>425</v>
      </c>
      <c r="B214" s="22" t="s">
        <v>426</v>
      </c>
      <c r="C214" s="20" t="s">
        <v>427</v>
      </c>
      <c r="D214" s="20" t="s">
        <v>437</v>
      </c>
      <c r="E214" s="21"/>
    </row>
    <row r="215" spans="1:5" ht="16.5" x14ac:dyDescent="0.25">
      <c r="A215" s="21"/>
      <c r="B215" s="22"/>
      <c r="C215" s="18"/>
      <c r="D215" s="20" t="s">
        <v>283</v>
      </c>
      <c r="E215" s="21"/>
    </row>
    <row r="216" spans="1:5" ht="16.5" x14ac:dyDescent="0.25">
      <c r="A216" s="21"/>
      <c r="B216" s="22"/>
      <c r="C216" s="20" t="s">
        <v>428</v>
      </c>
      <c r="D216" s="20" t="s">
        <v>438</v>
      </c>
      <c r="E216" s="21"/>
    </row>
    <row r="217" spans="1:5" ht="33" x14ac:dyDescent="0.25">
      <c r="A217" s="21"/>
      <c r="B217" s="22"/>
      <c r="C217" s="20" t="s">
        <v>429</v>
      </c>
      <c r="D217" s="20" t="s">
        <v>439</v>
      </c>
      <c r="E217" s="21"/>
    </row>
    <row r="218" spans="1:5" ht="16.5" x14ac:dyDescent="0.25">
      <c r="A218" s="21"/>
      <c r="B218" s="22"/>
      <c r="C218" s="20" t="s">
        <v>430</v>
      </c>
      <c r="D218" s="20"/>
      <c r="E218" s="21"/>
    </row>
    <row r="219" spans="1:5" ht="16.5" x14ac:dyDescent="0.25">
      <c r="A219" s="21"/>
      <c r="B219" s="22"/>
      <c r="C219" s="20" t="s">
        <v>431</v>
      </c>
      <c r="D219" s="20"/>
      <c r="E219" s="21"/>
    </row>
    <row r="220" spans="1:5" ht="16.5" x14ac:dyDescent="0.25">
      <c r="A220" s="21"/>
      <c r="B220" s="22"/>
      <c r="C220" s="20" t="s">
        <v>432</v>
      </c>
      <c r="D220" s="20"/>
      <c r="E220" s="21"/>
    </row>
    <row r="221" spans="1:5" ht="16.5" x14ac:dyDescent="0.25">
      <c r="A221" s="21"/>
      <c r="B221" s="22"/>
      <c r="C221" s="20" t="s">
        <v>433</v>
      </c>
      <c r="D221" s="20"/>
      <c r="E221" s="21"/>
    </row>
    <row r="222" spans="1:5" ht="16.5" x14ac:dyDescent="0.25">
      <c r="A222" s="21"/>
      <c r="B222" s="22"/>
      <c r="C222" s="20" t="s">
        <v>434</v>
      </c>
      <c r="D222" s="20"/>
      <c r="E222" s="21"/>
    </row>
    <row r="223" spans="1:5" ht="16.5" x14ac:dyDescent="0.25">
      <c r="A223" s="21"/>
      <c r="B223" s="22"/>
      <c r="C223" s="20" t="s">
        <v>435</v>
      </c>
      <c r="D223" s="20"/>
      <c r="E223" s="21"/>
    </row>
    <row r="224" spans="1:5" ht="16.5" x14ac:dyDescent="0.25">
      <c r="A224" s="21"/>
      <c r="B224" s="22"/>
      <c r="C224" s="20" t="s">
        <v>436</v>
      </c>
      <c r="D224" s="20"/>
      <c r="E224" s="21"/>
    </row>
    <row r="225" spans="1:5" ht="16.5" x14ac:dyDescent="0.25">
      <c r="A225" s="21" t="s">
        <v>440</v>
      </c>
      <c r="B225" s="22" t="s">
        <v>441</v>
      </c>
      <c r="C225" s="20" t="s">
        <v>442</v>
      </c>
      <c r="D225" s="20" t="s">
        <v>450</v>
      </c>
      <c r="E225" s="21"/>
    </row>
    <row r="226" spans="1:5" ht="16.5" x14ac:dyDescent="0.25">
      <c r="A226" s="21"/>
      <c r="B226" s="22"/>
      <c r="C226" s="18"/>
      <c r="D226" s="20" t="s">
        <v>451</v>
      </c>
      <c r="E226" s="21"/>
    </row>
    <row r="227" spans="1:5" ht="33" x14ac:dyDescent="0.25">
      <c r="A227" s="21"/>
      <c r="B227" s="22"/>
      <c r="C227" s="20" t="s">
        <v>443</v>
      </c>
      <c r="D227" s="20" t="s">
        <v>452</v>
      </c>
      <c r="E227" s="21"/>
    </row>
    <row r="228" spans="1:5" ht="16.5" x14ac:dyDescent="0.25">
      <c r="A228" s="21"/>
      <c r="B228" s="22"/>
      <c r="C228" s="20" t="s">
        <v>444</v>
      </c>
      <c r="D228" s="20" t="s">
        <v>423</v>
      </c>
      <c r="E228" s="21"/>
    </row>
    <row r="229" spans="1:5" ht="16.5" x14ac:dyDescent="0.25">
      <c r="A229" s="21"/>
      <c r="B229" s="22"/>
      <c r="C229" s="20" t="s">
        <v>431</v>
      </c>
      <c r="D229" s="20" t="s">
        <v>422</v>
      </c>
      <c r="E229" s="21"/>
    </row>
    <row r="230" spans="1:5" ht="16.5" x14ac:dyDescent="0.25">
      <c r="A230" s="21"/>
      <c r="B230" s="22"/>
      <c r="C230" s="20" t="s">
        <v>445</v>
      </c>
      <c r="D230" s="20" t="s">
        <v>453</v>
      </c>
      <c r="E230" s="21"/>
    </row>
    <row r="231" spans="1:5" ht="16.5" x14ac:dyDescent="0.25">
      <c r="A231" s="21"/>
      <c r="B231" s="22"/>
      <c r="C231" s="20" t="s">
        <v>435</v>
      </c>
      <c r="D231" s="20"/>
      <c r="E231" s="21"/>
    </row>
    <row r="232" spans="1:5" ht="16.5" x14ac:dyDescent="0.25">
      <c r="A232" s="21"/>
      <c r="B232" s="22"/>
      <c r="C232" s="20" t="s">
        <v>446</v>
      </c>
      <c r="D232" s="20"/>
      <c r="E232" s="21"/>
    </row>
    <row r="233" spans="1:5" ht="16.5" x14ac:dyDescent="0.25">
      <c r="A233" s="21"/>
      <c r="B233" s="22"/>
      <c r="C233" s="20" t="s">
        <v>447</v>
      </c>
      <c r="D233" s="20"/>
      <c r="E233" s="21"/>
    </row>
    <row r="234" spans="1:5" ht="16.5" x14ac:dyDescent="0.25">
      <c r="A234" s="21"/>
      <c r="B234" s="22"/>
      <c r="C234" s="20" t="s">
        <v>448</v>
      </c>
      <c r="D234" s="20"/>
      <c r="E234" s="21"/>
    </row>
    <row r="235" spans="1:5" ht="16.5" x14ac:dyDescent="0.25">
      <c r="A235" s="21"/>
      <c r="B235" s="22"/>
      <c r="C235" s="20" t="s">
        <v>415</v>
      </c>
      <c r="D235" s="20"/>
      <c r="E235" s="21"/>
    </row>
    <row r="236" spans="1:5" ht="16.5" x14ac:dyDescent="0.25">
      <c r="A236" s="21"/>
      <c r="B236" s="22"/>
      <c r="C236" s="20" t="s">
        <v>416</v>
      </c>
      <c r="D236" s="20"/>
      <c r="E236" s="21"/>
    </row>
    <row r="237" spans="1:5" ht="16.5" x14ac:dyDescent="0.25">
      <c r="A237" s="21"/>
      <c r="B237" s="22"/>
      <c r="C237" s="20" t="s">
        <v>417</v>
      </c>
      <c r="D237" s="20"/>
      <c r="E237" s="21"/>
    </row>
    <row r="238" spans="1:5" ht="16.5" x14ac:dyDescent="0.25">
      <c r="A238" s="21"/>
      <c r="B238" s="22"/>
      <c r="C238" s="20" t="s">
        <v>449</v>
      </c>
      <c r="D238" s="20"/>
      <c r="E238" s="21"/>
    </row>
    <row r="239" spans="1:5" ht="16.5" x14ac:dyDescent="0.25">
      <c r="A239" s="21" t="s">
        <v>454</v>
      </c>
      <c r="B239" s="22" t="s">
        <v>455</v>
      </c>
      <c r="C239" s="20" t="s">
        <v>456</v>
      </c>
      <c r="D239" s="20" t="s">
        <v>465</v>
      </c>
      <c r="E239" s="21"/>
    </row>
    <row r="240" spans="1:5" ht="16.5" x14ac:dyDescent="0.25">
      <c r="A240" s="21"/>
      <c r="B240" s="22"/>
      <c r="C240" s="18"/>
      <c r="D240" s="20" t="s">
        <v>466</v>
      </c>
      <c r="E240" s="21"/>
    </row>
    <row r="241" spans="1:5" ht="16.5" x14ac:dyDescent="0.25">
      <c r="A241" s="21"/>
      <c r="B241" s="22"/>
      <c r="C241" s="20" t="s">
        <v>457</v>
      </c>
      <c r="D241" s="20" t="s">
        <v>467</v>
      </c>
      <c r="E241" s="21"/>
    </row>
    <row r="242" spans="1:5" ht="16.5" x14ac:dyDescent="0.25">
      <c r="A242" s="21"/>
      <c r="B242" s="22"/>
      <c r="C242" s="20" t="s">
        <v>458</v>
      </c>
      <c r="D242" s="20"/>
      <c r="E242" s="21"/>
    </row>
    <row r="243" spans="1:5" ht="16.5" x14ac:dyDescent="0.25">
      <c r="A243" s="21"/>
      <c r="B243" s="22"/>
      <c r="C243" s="20" t="s">
        <v>459</v>
      </c>
      <c r="D243" s="20"/>
      <c r="E243" s="21"/>
    </row>
    <row r="244" spans="1:5" ht="16.5" x14ac:dyDescent="0.25">
      <c r="A244" s="21"/>
      <c r="B244" s="22"/>
      <c r="C244" s="20" t="s">
        <v>398</v>
      </c>
      <c r="D244" s="20"/>
      <c r="E244" s="21"/>
    </row>
    <row r="245" spans="1:5" ht="16.5" x14ac:dyDescent="0.25">
      <c r="A245" s="21"/>
      <c r="B245" s="22"/>
      <c r="C245" s="20" t="s">
        <v>460</v>
      </c>
      <c r="D245" s="20"/>
      <c r="E245" s="21"/>
    </row>
    <row r="246" spans="1:5" ht="16.5" x14ac:dyDescent="0.25">
      <c r="A246" s="21"/>
      <c r="B246" s="22"/>
      <c r="C246" s="20" t="s">
        <v>461</v>
      </c>
      <c r="D246" s="20"/>
      <c r="E246" s="21"/>
    </row>
    <row r="247" spans="1:5" ht="16.5" x14ac:dyDescent="0.25">
      <c r="A247" s="21"/>
      <c r="B247" s="22"/>
      <c r="C247" s="20" t="s">
        <v>462</v>
      </c>
      <c r="D247" s="20"/>
      <c r="E247" s="21"/>
    </row>
    <row r="248" spans="1:5" ht="16.5" x14ac:dyDescent="0.25">
      <c r="A248" s="21"/>
      <c r="B248" s="22"/>
      <c r="C248" s="20" t="s">
        <v>463</v>
      </c>
      <c r="D248" s="20"/>
      <c r="E248" s="21"/>
    </row>
    <row r="249" spans="1:5" ht="16.5" x14ac:dyDescent="0.25">
      <c r="A249" s="21"/>
      <c r="B249" s="22"/>
      <c r="C249" s="20" t="s">
        <v>464</v>
      </c>
      <c r="D249" s="20"/>
      <c r="E249" s="21"/>
    </row>
    <row r="250" spans="1:5" ht="16.5" x14ac:dyDescent="0.25">
      <c r="A250" s="21" t="s">
        <v>468</v>
      </c>
      <c r="B250" s="22" t="s">
        <v>469</v>
      </c>
      <c r="C250" s="20" t="s">
        <v>470</v>
      </c>
      <c r="D250" s="20" t="s">
        <v>479</v>
      </c>
      <c r="E250" s="21"/>
    </row>
    <row r="251" spans="1:5" ht="16.5" x14ac:dyDescent="0.25">
      <c r="A251" s="21"/>
      <c r="B251" s="22"/>
      <c r="C251" s="18"/>
      <c r="D251" s="20" t="s">
        <v>480</v>
      </c>
      <c r="E251" s="21"/>
    </row>
    <row r="252" spans="1:5" ht="33" x14ac:dyDescent="0.25">
      <c r="A252" s="21"/>
      <c r="B252" s="22"/>
      <c r="C252" s="20" t="s">
        <v>471</v>
      </c>
      <c r="D252" s="20" t="s">
        <v>481</v>
      </c>
      <c r="E252" s="21"/>
    </row>
    <row r="253" spans="1:5" ht="16.5" x14ac:dyDescent="0.25">
      <c r="A253" s="21"/>
      <c r="B253" s="22"/>
      <c r="C253" s="20" t="s">
        <v>472</v>
      </c>
      <c r="D253" s="20" t="s">
        <v>482</v>
      </c>
      <c r="E253" s="21"/>
    </row>
    <row r="254" spans="1:5" ht="16.5" x14ac:dyDescent="0.25">
      <c r="A254" s="21"/>
      <c r="B254" s="22"/>
      <c r="C254" s="20" t="s">
        <v>473</v>
      </c>
      <c r="D254" s="20"/>
      <c r="E254" s="21"/>
    </row>
    <row r="255" spans="1:5" ht="16.5" x14ac:dyDescent="0.25">
      <c r="A255" s="21"/>
      <c r="B255" s="22"/>
      <c r="C255" s="20" t="s">
        <v>460</v>
      </c>
      <c r="D255" s="20"/>
      <c r="E255" s="21"/>
    </row>
    <row r="256" spans="1:5" ht="16.5" x14ac:dyDescent="0.25">
      <c r="A256" s="21"/>
      <c r="B256" s="22"/>
      <c r="C256" s="20" t="s">
        <v>461</v>
      </c>
      <c r="D256" s="20"/>
      <c r="E256" s="21"/>
    </row>
    <row r="257" spans="1:5" ht="16.5" x14ac:dyDescent="0.25">
      <c r="A257" s="21"/>
      <c r="B257" s="22"/>
      <c r="C257" s="20" t="s">
        <v>474</v>
      </c>
      <c r="D257" s="20"/>
      <c r="E257" s="21"/>
    </row>
    <row r="258" spans="1:5" ht="16.5" x14ac:dyDescent="0.25">
      <c r="A258" s="21"/>
      <c r="B258" s="22"/>
      <c r="C258" s="20" t="s">
        <v>475</v>
      </c>
      <c r="D258" s="20"/>
      <c r="E258" s="21"/>
    </row>
    <row r="259" spans="1:5" ht="16.5" x14ac:dyDescent="0.25">
      <c r="A259" s="21"/>
      <c r="B259" s="22"/>
      <c r="C259" s="20" t="s">
        <v>462</v>
      </c>
      <c r="D259" s="20"/>
      <c r="E259" s="21"/>
    </row>
    <row r="260" spans="1:5" ht="16.5" x14ac:dyDescent="0.25">
      <c r="A260" s="21"/>
      <c r="B260" s="22"/>
      <c r="C260" s="20" t="s">
        <v>339</v>
      </c>
      <c r="D260" s="20"/>
      <c r="E260" s="21"/>
    </row>
    <row r="261" spans="1:5" ht="16.5" x14ac:dyDescent="0.25">
      <c r="A261" s="21"/>
      <c r="B261" s="22"/>
      <c r="C261" s="20" t="s">
        <v>476</v>
      </c>
      <c r="D261" s="20"/>
      <c r="E261" s="21"/>
    </row>
    <row r="262" spans="1:5" ht="16.5" x14ac:dyDescent="0.25">
      <c r="A262" s="21"/>
      <c r="B262" s="22"/>
      <c r="C262" s="20" t="s">
        <v>477</v>
      </c>
      <c r="D262" s="20"/>
      <c r="E262" s="21"/>
    </row>
    <row r="263" spans="1:5" ht="16.5" x14ac:dyDescent="0.25">
      <c r="A263" s="21"/>
      <c r="B263" s="22"/>
      <c r="C263" s="20" t="s">
        <v>478</v>
      </c>
      <c r="D263" s="20"/>
      <c r="E263" s="21"/>
    </row>
    <row r="264" spans="1:5" ht="16.5" x14ac:dyDescent="0.25">
      <c r="A264" s="21" t="s">
        <v>483</v>
      </c>
      <c r="B264" s="22" t="s">
        <v>484</v>
      </c>
      <c r="C264" s="20" t="s">
        <v>485</v>
      </c>
      <c r="D264" s="20" t="s">
        <v>491</v>
      </c>
      <c r="E264" s="21"/>
    </row>
    <row r="265" spans="1:5" ht="16.5" x14ac:dyDescent="0.25">
      <c r="A265" s="21"/>
      <c r="B265" s="22"/>
      <c r="C265" s="18"/>
      <c r="D265" s="20" t="s">
        <v>492</v>
      </c>
      <c r="E265" s="21"/>
    </row>
    <row r="266" spans="1:5" ht="16.5" x14ac:dyDescent="0.25">
      <c r="A266" s="21"/>
      <c r="B266" s="22"/>
      <c r="C266" s="20" t="s">
        <v>486</v>
      </c>
      <c r="D266" s="20" t="s">
        <v>493</v>
      </c>
      <c r="E266" s="21"/>
    </row>
    <row r="267" spans="1:5" ht="16.5" x14ac:dyDescent="0.25">
      <c r="A267" s="21"/>
      <c r="B267" s="22"/>
      <c r="C267" s="20" t="s">
        <v>487</v>
      </c>
      <c r="D267" s="20" t="s">
        <v>494</v>
      </c>
      <c r="E267" s="21"/>
    </row>
    <row r="268" spans="1:5" ht="16.5" x14ac:dyDescent="0.25">
      <c r="A268" s="21"/>
      <c r="B268" s="22"/>
      <c r="C268" s="20" t="s">
        <v>398</v>
      </c>
      <c r="D268" s="20"/>
      <c r="E268" s="21"/>
    </row>
    <row r="269" spans="1:5" ht="16.5" x14ac:dyDescent="0.25">
      <c r="A269" s="21"/>
      <c r="B269" s="22"/>
      <c r="C269" s="20" t="s">
        <v>488</v>
      </c>
      <c r="D269" s="20"/>
      <c r="E269" s="21"/>
    </row>
    <row r="270" spans="1:5" ht="16.5" x14ac:dyDescent="0.25">
      <c r="A270" s="21"/>
      <c r="B270" s="22"/>
      <c r="C270" s="20" t="s">
        <v>356</v>
      </c>
      <c r="D270" s="20"/>
      <c r="E270" s="21"/>
    </row>
    <row r="271" spans="1:5" ht="16.5" x14ac:dyDescent="0.25">
      <c r="A271" s="21"/>
      <c r="B271" s="22"/>
      <c r="C271" s="20" t="s">
        <v>489</v>
      </c>
      <c r="D271" s="20"/>
      <c r="E271" s="21"/>
    </row>
    <row r="272" spans="1:5" ht="16.5" x14ac:dyDescent="0.25">
      <c r="A272" s="21"/>
      <c r="B272" s="22"/>
      <c r="C272" s="20" t="s">
        <v>490</v>
      </c>
      <c r="D272" s="20"/>
      <c r="E272" s="21"/>
    </row>
    <row r="273" spans="1:5" ht="16.5" x14ac:dyDescent="0.25">
      <c r="A273" s="21" t="s">
        <v>495</v>
      </c>
      <c r="B273" s="22" t="s">
        <v>496</v>
      </c>
      <c r="C273" s="20" t="s">
        <v>497</v>
      </c>
      <c r="D273" s="20" t="s">
        <v>504</v>
      </c>
      <c r="E273" s="21"/>
    </row>
    <row r="274" spans="1:5" ht="16.5" x14ac:dyDescent="0.25">
      <c r="A274" s="21"/>
      <c r="B274" s="22"/>
      <c r="C274" s="18"/>
      <c r="D274" s="20" t="s">
        <v>505</v>
      </c>
      <c r="E274" s="21"/>
    </row>
    <row r="275" spans="1:5" ht="16.5" x14ac:dyDescent="0.25">
      <c r="A275" s="21"/>
      <c r="B275" s="22"/>
      <c r="C275" s="20" t="s">
        <v>498</v>
      </c>
      <c r="D275" s="20" t="s">
        <v>506</v>
      </c>
      <c r="E275" s="21"/>
    </row>
    <row r="276" spans="1:5" ht="16.5" x14ac:dyDescent="0.25">
      <c r="A276" s="21"/>
      <c r="B276" s="22"/>
      <c r="C276" s="20" t="s">
        <v>499</v>
      </c>
      <c r="D276" s="20" t="s">
        <v>507</v>
      </c>
      <c r="E276" s="21"/>
    </row>
    <row r="277" spans="1:5" ht="16.5" x14ac:dyDescent="0.25">
      <c r="A277" s="21"/>
      <c r="B277" s="22"/>
      <c r="C277" s="20" t="s">
        <v>398</v>
      </c>
      <c r="D277" s="20" t="s">
        <v>493</v>
      </c>
      <c r="E277" s="21"/>
    </row>
    <row r="278" spans="1:5" ht="16.5" x14ac:dyDescent="0.25">
      <c r="A278" s="21"/>
      <c r="B278" s="22"/>
      <c r="C278" s="20" t="s">
        <v>460</v>
      </c>
      <c r="D278" s="20"/>
      <c r="E278" s="21"/>
    </row>
    <row r="279" spans="1:5" ht="16.5" x14ac:dyDescent="0.25">
      <c r="A279" s="21"/>
      <c r="B279" s="22"/>
      <c r="C279" s="20" t="s">
        <v>461</v>
      </c>
      <c r="D279" s="20"/>
      <c r="E279" s="21"/>
    </row>
    <row r="280" spans="1:5" ht="16.5" x14ac:dyDescent="0.25">
      <c r="A280" s="21"/>
      <c r="B280" s="22"/>
      <c r="C280" s="20" t="s">
        <v>500</v>
      </c>
      <c r="D280" s="20"/>
      <c r="E280" s="21"/>
    </row>
    <row r="281" spans="1:5" ht="16.5" x14ac:dyDescent="0.25">
      <c r="A281" s="21"/>
      <c r="B281" s="22"/>
      <c r="C281" s="20" t="s">
        <v>501</v>
      </c>
      <c r="D281" s="20"/>
      <c r="E281" s="21"/>
    </row>
    <row r="282" spans="1:5" ht="16.5" x14ac:dyDescent="0.25">
      <c r="A282" s="21"/>
      <c r="B282" s="22"/>
      <c r="C282" s="20" t="s">
        <v>502</v>
      </c>
      <c r="D282" s="20"/>
      <c r="E282" s="21"/>
    </row>
    <row r="283" spans="1:5" ht="16.5" x14ac:dyDescent="0.25">
      <c r="A283" s="21"/>
      <c r="B283" s="22"/>
      <c r="C283" s="20" t="s">
        <v>503</v>
      </c>
      <c r="D283" s="20"/>
      <c r="E283" s="21"/>
    </row>
    <row r="284" spans="1:5" ht="16.5" x14ac:dyDescent="0.25">
      <c r="A284" s="21" t="s">
        <v>508</v>
      </c>
      <c r="B284" s="22" t="s">
        <v>509</v>
      </c>
      <c r="C284" s="20" t="s">
        <v>510</v>
      </c>
      <c r="D284" s="20" t="s">
        <v>518</v>
      </c>
      <c r="E284" s="21"/>
    </row>
    <row r="285" spans="1:5" ht="16.5" x14ac:dyDescent="0.25">
      <c r="A285" s="21"/>
      <c r="B285" s="22"/>
      <c r="C285" s="18"/>
      <c r="D285" s="20" t="s">
        <v>283</v>
      </c>
      <c r="E285" s="21"/>
    </row>
    <row r="286" spans="1:5" ht="16.5" x14ac:dyDescent="0.25">
      <c r="A286" s="21"/>
      <c r="B286" s="22"/>
      <c r="C286" s="20" t="s">
        <v>511</v>
      </c>
      <c r="D286" s="20" t="s">
        <v>519</v>
      </c>
      <c r="E286" s="21"/>
    </row>
    <row r="287" spans="1:5" ht="33" x14ac:dyDescent="0.25">
      <c r="A287" s="21"/>
      <c r="B287" s="22"/>
      <c r="C287" s="20" t="s">
        <v>512</v>
      </c>
      <c r="D287" s="20" t="s">
        <v>520</v>
      </c>
      <c r="E287" s="21"/>
    </row>
    <row r="288" spans="1:5" ht="16.5" x14ac:dyDescent="0.25">
      <c r="A288" s="21"/>
      <c r="B288" s="22"/>
      <c r="C288" s="20" t="s">
        <v>513</v>
      </c>
      <c r="D288" s="20"/>
      <c r="E288" s="21"/>
    </row>
    <row r="289" spans="1:5" ht="16.5" x14ac:dyDescent="0.25">
      <c r="A289" s="21"/>
      <c r="B289" s="22"/>
      <c r="C289" s="20" t="s">
        <v>514</v>
      </c>
      <c r="D289" s="20"/>
      <c r="E289" s="21"/>
    </row>
    <row r="290" spans="1:5" ht="16.5" x14ac:dyDescent="0.25">
      <c r="A290" s="21"/>
      <c r="B290" s="22"/>
      <c r="C290" s="20" t="s">
        <v>515</v>
      </c>
      <c r="D290" s="20"/>
      <c r="E290" s="21"/>
    </row>
    <row r="291" spans="1:5" ht="16.5" x14ac:dyDescent="0.25">
      <c r="A291" s="21"/>
      <c r="B291" s="22"/>
      <c r="C291" s="20" t="s">
        <v>516</v>
      </c>
      <c r="D291" s="20"/>
      <c r="E291" s="21"/>
    </row>
    <row r="292" spans="1:5" ht="16.5" x14ac:dyDescent="0.25">
      <c r="A292" s="21"/>
      <c r="B292" s="22"/>
      <c r="C292" s="20" t="s">
        <v>517</v>
      </c>
      <c r="D292" s="20"/>
      <c r="E292" s="21"/>
    </row>
    <row r="293" spans="1:5" ht="16.5" x14ac:dyDescent="0.25">
      <c r="A293" s="21" t="s">
        <v>521</v>
      </c>
      <c r="B293" s="22" t="s">
        <v>522</v>
      </c>
      <c r="C293" s="20" t="s">
        <v>523</v>
      </c>
      <c r="D293" s="20" t="s">
        <v>530</v>
      </c>
      <c r="E293" s="21"/>
    </row>
    <row r="294" spans="1:5" ht="16.5" x14ac:dyDescent="0.25">
      <c r="A294" s="21"/>
      <c r="B294" s="22"/>
      <c r="C294" s="18"/>
      <c r="D294" s="20" t="s">
        <v>360</v>
      </c>
      <c r="E294" s="21"/>
    </row>
    <row r="295" spans="1:5" ht="33" x14ac:dyDescent="0.25">
      <c r="A295" s="21"/>
      <c r="B295" s="22"/>
      <c r="C295" s="20" t="s">
        <v>524</v>
      </c>
      <c r="D295" s="20" t="s">
        <v>531</v>
      </c>
      <c r="E295" s="21"/>
    </row>
    <row r="296" spans="1:5" ht="16.5" x14ac:dyDescent="0.25">
      <c r="A296" s="21"/>
      <c r="B296" s="22"/>
      <c r="C296" s="20" t="s">
        <v>525</v>
      </c>
      <c r="D296" s="20" t="s">
        <v>283</v>
      </c>
      <c r="E296" s="21"/>
    </row>
    <row r="297" spans="1:5" ht="16.5" x14ac:dyDescent="0.25">
      <c r="A297" s="21"/>
      <c r="B297" s="22"/>
      <c r="C297" s="20" t="s">
        <v>526</v>
      </c>
      <c r="D297" s="20"/>
      <c r="E297" s="21"/>
    </row>
    <row r="298" spans="1:5" ht="16.5" x14ac:dyDescent="0.25">
      <c r="A298" s="21"/>
      <c r="B298" s="22"/>
      <c r="C298" s="20" t="s">
        <v>527</v>
      </c>
      <c r="D298" s="20"/>
      <c r="E298" s="21"/>
    </row>
    <row r="299" spans="1:5" ht="16.5" x14ac:dyDescent="0.25">
      <c r="A299" s="21"/>
      <c r="B299" s="22"/>
      <c r="C299" s="20" t="s">
        <v>528</v>
      </c>
      <c r="D299" s="20"/>
      <c r="E299" s="21"/>
    </row>
    <row r="300" spans="1:5" ht="16.5" x14ac:dyDescent="0.25">
      <c r="A300" s="21"/>
      <c r="B300" s="22"/>
      <c r="C300" s="20" t="s">
        <v>432</v>
      </c>
      <c r="D300" s="20"/>
      <c r="E300" s="21"/>
    </row>
    <row r="301" spans="1:5" ht="16.5" x14ac:dyDescent="0.25">
      <c r="A301" s="21"/>
      <c r="B301" s="22"/>
      <c r="C301" s="20" t="s">
        <v>366</v>
      </c>
      <c r="D301" s="20"/>
      <c r="E301" s="21"/>
    </row>
    <row r="302" spans="1:5" ht="16.5" x14ac:dyDescent="0.25">
      <c r="A302" s="21"/>
      <c r="B302" s="22"/>
      <c r="C302" s="20" t="s">
        <v>529</v>
      </c>
      <c r="D302" s="20"/>
      <c r="E302" s="21"/>
    </row>
    <row r="303" spans="1:5" ht="16.5" x14ac:dyDescent="0.25">
      <c r="A303" s="21" t="s">
        <v>532</v>
      </c>
      <c r="B303" s="22" t="s">
        <v>533</v>
      </c>
      <c r="C303" s="20" t="s">
        <v>534</v>
      </c>
      <c r="D303" s="20" t="s">
        <v>537</v>
      </c>
      <c r="E303" s="21"/>
    </row>
    <row r="304" spans="1:5" ht="16.5" x14ac:dyDescent="0.25">
      <c r="A304" s="21"/>
      <c r="B304" s="22"/>
      <c r="C304" s="18"/>
      <c r="D304" s="20" t="s">
        <v>271</v>
      </c>
      <c r="E304" s="21"/>
    </row>
    <row r="305" spans="1:5" ht="16.5" x14ac:dyDescent="0.25">
      <c r="A305" s="21"/>
      <c r="B305" s="22"/>
      <c r="C305" s="20" t="s">
        <v>535</v>
      </c>
      <c r="D305" s="20" t="s">
        <v>538</v>
      </c>
      <c r="E305" s="21"/>
    </row>
    <row r="306" spans="1:5" ht="16.5" x14ac:dyDescent="0.25">
      <c r="A306" s="21"/>
      <c r="B306" s="22"/>
      <c r="C306" s="20" t="s">
        <v>499</v>
      </c>
      <c r="D306" s="20" t="s">
        <v>374</v>
      </c>
      <c r="E306" s="21"/>
    </row>
    <row r="307" spans="1:5" ht="16.5" x14ac:dyDescent="0.25">
      <c r="A307" s="21"/>
      <c r="B307" s="22"/>
      <c r="C307" s="20" t="s">
        <v>367</v>
      </c>
      <c r="D307" s="20" t="s">
        <v>539</v>
      </c>
      <c r="E307" s="21"/>
    </row>
    <row r="308" spans="1:5" ht="16.5" x14ac:dyDescent="0.25">
      <c r="A308" s="21"/>
      <c r="B308" s="22"/>
      <c r="C308" s="20" t="s">
        <v>432</v>
      </c>
      <c r="D308" s="20"/>
      <c r="E308" s="21"/>
    </row>
    <row r="309" spans="1:5" ht="16.5" x14ac:dyDescent="0.25">
      <c r="A309" s="21"/>
      <c r="B309" s="22"/>
      <c r="C309" s="20" t="s">
        <v>527</v>
      </c>
      <c r="D309" s="20"/>
      <c r="E309" s="21"/>
    </row>
    <row r="310" spans="1:5" ht="16.5" x14ac:dyDescent="0.25">
      <c r="A310" s="21"/>
      <c r="B310" s="22"/>
      <c r="C310" s="20" t="s">
        <v>366</v>
      </c>
      <c r="D310" s="20"/>
      <c r="E310" s="21"/>
    </row>
    <row r="311" spans="1:5" ht="16.5" x14ac:dyDescent="0.25">
      <c r="A311" s="21"/>
      <c r="B311" s="22"/>
      <c r="C311" s="20" t="s">
        <v>536</v>
      </c>
      <c r="D311" s="20"/>
      <c r="E311" s="21"/>
    </row>
    <row r="312" spans="1:5" ht="16.5" x14ac:dyDescent="0.25">
      <c r="A312" s="21"/>
      <c r="B312" s="22"/>
      <c r="C312" s="20" t="s">
        <v>372</v>
      </c>
      <c r="D312" s="20"/>
      <c r="E312" s="21"/>
    </row>
    <row r="313" spans="1:5" ht="16.5" x14ac:dyDescent="0.25">
      <c r="A313" s="21" t="s">
        <v>540</v>
      </c>
      <c r="B313" s="22" t="s">
        <v>541</v>
      </c>
      <c r="C313" s="20" t="s">
        <v>542</v>
      </c>
      <c r="D313" s="20" t="s">
        <v>550</v>
      </c>
      <c r="E313" s="21"/>
    </row>
    <row r="314" spans="1:5" ht="16.5" x14ac:dyDescent="0.25">
      <c r="A314" s="21"/>
      <c r="B314" s="22"/>
      <c r="C314" s="18"/>
      <c r="D314" s="20" t="s">
        <v>551</v>
      </c>
      <c r="E314" s="21"/>
    </row>
    <row r="315" spans="1:5" ht="16.5" x14ac:dyDescent="0.25">
      <c r="A315" s="21"/>
      <c r="B315" s="22"/>
      <c r="C315" s="20" t="s">
        <v>543</v>
      </c>
      <c r="D315" s="20" t="s">
        <v>424</v>
      </c>
      <c r="E315" s="21"/>
    </row>
    <row r="316" spans="1:5" ht="16.5" x14ac:dyDescent="0.25">
      <c r="A316" s="21"/>
      <c r="B316" s="22"/>
      <c r="C316" s="20" t="s">
        <v>544</v>
      </c>
      <c r="D316" s="20" t="s">
        <v>552</v>
      </c>
      <c r="E316" s="21"/>
    </row>
    <row r="317" spans="1:5" ht="16.5" x14ac:dyDescent="0.25">
      <c r="A317" s="21"/>
      <c r="B317" s="22"/>
      <c r="C317" s="20" t="s">
        <v>398</v>
      </c>
      <c r="D317" s="20"/>
      <c r="E317" s="21"/>
    </row>
    <row r="318" spans="1:5" ht="16.5" x14ac:dyDescent="0.25">
      <c r="A318" s="21"/>
      <c r="B318" s="22"/>
      <c r="C318" s="20" t="s">
        <v>474</v>
      </c>
      <c r="D318" s="20"/>
      <c r="E318" s="21"/>
    </row>
    <row r="319" spans="1:5" ht="16.5" x14ac:dyDescent="0.25">
      <c r="A319" s="21"/>
      <c r="B319" s="22"/>
      <c r="C319" s="20" t="s">
        <v>545</v>
      </c>
      <c r="D319" s="20"/>
      <c r="E319" s="21"/>
    </row>
    <row r="320" spans="1:5" ht="16.5" x14ac:dyDescent="0.25">
      <c r="A320" s="21"/>
      <c r="B320" s="22"/>
      <c r="C320" s="20" t="s">
        <v>546</v>
      </c>
      <c r="D320" s="20"/>
      <c r="E320" s="21"/>
    </row>
    <row r="321" spans="1:5" ht="16.5" x14ac:dyDescent="0.25">
      <c r="A321" s="21"/>
      <c r="B321" s="22"/>
      <c r="C321" s="20" t="s">
        <v>547</v>
      </c>
      <c r="D321" s="20"/>
      <c r="E321" s="21"/>
    </row>
    <row r="322" spans="1:5" ht="16.5" x14ac:dyDescent="0.25">
      <c r="A322" s="21"/>
      <c r="B322" s="22"/>
      <c r="C322" s="20" t="s">
        <v>548</v>
      </c>
      <c r="D322" s="20"/>
      <c r="E322" s="21"/>
    </row>
    <row r="323" spans="1:5" ht="16.5" x14ac:dyDescent="0.25">
      <c r="A323" s="21"/>
      <c r="B323" s="22"/>
      <c r="C323" s="20" t="s">
        <v>549</v>
      </c>
      <c r="D323" s="20"/>
      <c r="E323" s="21"/>
    </row>
    <row r="324" spans="1:5" ht="16.5" x14ac:dyDescent="0.25">
      <c r="A324" s="21" t="s">
        <v>553</v>
      </c>
      <c r="B324" s="22" t="s">
        <v>554</v>
      </c>
      <c r="C324" s="20" t="s">
        <v>555</v>
      </c>
      <c r="D324" s="20" t="s">
        <v>563</v>
      </c>
      <c r="E324" s="21"/>
    </row>
    <row r="325" spans="1:5" ht="16.5" x14ac:dyDescent="0.25">
      <c r="A325" s="21"/>
      <c r="B325" s="22"/>
      <c r="C325" s="18"/>
      <c r="D325" s="20" t="s">
        <v>564</v>
      </c>
      <c r="E325" s="21"/>
    </row>
    <row r="326" spans="1:5" ht="16.5" x14ac:dyDescent="0.25">
      <c r="A326" s="21"/>
      <c r="B326" s="22"/>
      <c r="C326" s="20" t="s">
        <v>556</v>
      </c>
      <c r="D326" s="20" t="s">
        <v>565</v>
      </c>
      <c r="E326" s="21"/>
    </row>
    <row r="327" spans="1:5" ht="16.5" x14ac:dyDescent="0.25">
      <c r="A327" s="21"/>
      <c r="B327" s="22"/>
      <c r="C327" s="20" t="s">
        <v>557</v>
      </c>
      <c r="D327" s="20"/>
      <c r="E327" s="21"/>
    </row>
    <row r="328" spans="1:5" ht="16.5" x14ac:dyDescent="0.25">
      <c r="A328" s="21"/>
      <c r="B328" s="22"/>
      <c r="C328" s="20" t="s">
        <v>558</v>
      </c>
      <c r="D328" s="20"/>
      <c r="E328" s="21"/>
    </row>
    <row r="329" spans="1:5" ht="16.5" x14ac:dyDescent="0.25">
      <c r="A329" s="21"/>
      <c r="B329" s="22"/>
      <c r="C329" s="20" t="s">
        <v>559</v>
      </c>
      <c r="D329" s="20"/>
      <c r="E329" s="21"/>
    </row>
    <row r="330" spans="1:5" ht="16.5" x14ac:dyDescent="0.25">
      <c r="A330" s="21"/>
      <c r="B330" s="22"/>
      <c r="C330" s="20" t="s">
        <v>560</v>
      </c>
      <c r="D330" s="20"/>
      <c r="E330" s="21"/>
    </row>
    <row r="331" spans="1:5" ht="16.5" x14ac:dyDescent="0.25">
      <c r="A331" s="21"/>
      <c r="B331" s="22"/>
      <c r="C331" s="20" t="s">
        <v>561</v>
      </c>
      <c r="D331" s="20"/>
      <c r="E331" s="21"/>
    </row>
    <row r="332" spans="1:5" ht="33" x14ac:dyDescent="0.25">
      <c r="A332" s="21"/>
      <c r="B332" s="22"/>
      <c r="C332" s="20" t="s">
        <v>562</v>
      </c>
      <c r="D332" s="20"/>
      <c r="E332" s="21"/>
    </row>
    <row r="333" spans="1:5" ht="16.5" x14ac:dyDescent="0.25">
      <c r="A333" s="21" t="s">
        <v>566</v>
      </c>
      <c r="B333" s="22" t="s">
        <v>567</v>
      </c>
      <c r="C333" s="20" t="s">
        <v>568</v>
      </c>
      <c r="D333" s="20" t="s">
        <v>574</v>
      </c>
      <c r="E333" s="21"/>
    </row>
    <row r="334" spans="1:5" ht="16.5" x14ac:dyDescent="0.25">
      <c r="A334" s="21"/>
      <c r="B334" s="22"/>
      <c r="C334" s="18"/>
      <c r="D334" s="20" t="s">
        <v>575</v>
      </c>
      <c r="E334" s="21"/>
    </row>
    <row r="335" spans="1:5" ht="16.5" x14ac:dyDescent="0.25">
      <c r="A335" s="21"/>
      <c r="B335" s="22"/>
      <c r="C335" s="20" t="s">
        <v>569</v>
      </c>
      <c r="D335" s="20" t="s">
        <v>576</v>
      </c>
      <c r="E335" s="21"/>
    </row>
    <row r="336" spans="1:5" ht="16.5" x14ac:dyDescent="0.25">
      <c r="A336" s="21"/>
      <c r="B336" s="22"/>
      <c r="C336" s="20" t="s">
        <v>570</v>
      </c>
      <c r="D336" s="20"/>
      <c r="E336" s="21"/>
    </row>
    <row r="337" spans="1:5" ht="16.5" x14ac:dyDescent="0.25">
      <c r="A337" s="21"/>
      <c r="B337" s="22"/>
      <c r="C337" s="20" t="s">
        <v>571</v>
      </c>
      <c r="D337" s="20"/>
      <c r="E337" s="21"/>
    </row>
    <row r="338" spans="1:5" ht="16.5" x14ac:dyDescent="0.25">
      <c r="A338" s="21"/>
      <c r="B338" s="22"/>
      <c r="C338" s="20" t="s">
        <v>572</v>
      </c>
      <c r="D338" s="20"/>
      <c r="E338" s="21"/>
    </row>
    <row r="339" spans="1:5" ht="16.5" x14ac:dyDescent="0.25">
      <c r="A339" s="21"/>
      <c r="B339" s="22"/>
      <c r="C339" s="20" t="s">
        <v>573</v>
      </c>
      <c r="D339" s="20"/>
      <c r="E339" s="21"/>
    </row>
    <row r="340" spans="1:5" ht="16.5" x14ac:dyDescent="0.25">
      <c r="A340" s="21" t="s">
        <v>577</v>
      </c>
      <c r="B340" s="22" t="s">
        <v>578</v>
      </c>
      <c r="C340" s="20" t="s">
        <v>579</v>
      </c>
      <c r="D340" s="20" t="s">
        <v>586</v>
      </c>
      <c r="E340" s="21"/>
    </row>
    <row r="341" spans="1:5" ht="16.5" x14ac:dyDescent="0.25">
      <c r="A341" s="21"/>
      <c r="B341" s="22"/>
      <c r="C341" s="18"/>
      <c r="D341" s="20" t="s">
        <v>506</v>
      </c>
      <c r="E341" s="21"/>
    </row>
    <row r="342" spans="1:5" ht="16.5" x14ac:dyDescent="0.25">
      <c r="A342" s="21"/>
      <c r="B342" s="22"/>
      <c r="C342" s="20" t="s">
        <v>580</v>
      </c>
      <c r="D342" s="20" t="s">
        <v>480</v>
      </c>
      <c r="E342" s="21"/>
    </row>
    <row r="343" spans="1:5" ht="16.5" x14ac:dyDescent="0.25">
      <c r="A343" s="21"/>
      <c r="B343" s="22"/>
      <c r="C343" s="20" t="s">
        <v>581</v>
      </c>
      <c r="D343" s="20" t="s">
        <v>587</v>
      </c>
      <c r="E343" s="21"/>
    </row>
    <row r="344" spans="1:5" ht="16.5" x14ac:dyDescent="0.25">
      <c r="A344" s="21"/>
      <c r="B344" s="22"/>
      <c r="C344" s="20" t="s">
        <v>398</v>
      </c>
      <c r="D344" s="20"/>
      <c r="E344" s="21"/>
    </row>
    <row r="345" spans="1:5" ht="16.5" x14ac:dyDescent="0.25">
      <c r="A345" s="21"/>
      <c r="B345" s="22"/>
      <c r="C345" s="20" t="s">
        <v>582</v>
      </c>
      <c r="D345" s="20"/>
      <c r="E345" s="21"/>
    </row>
    <row r="346" spans="1:5" ht="16.5" x14ac:dyDescent="0.25">
      <c r="A346" s="21"/>
      <c r="B346" s="22"/>
      <c r="C346" s="20" t="s">
        <v>461</v>
      </c>
      <c r="D346" s="20"/>
      <c r="E346" s="21"/>
    </row>
    <row r="347" spans="1:5" ht="16.5" x14ac:dyDescent="0.25">
      <c r="A347" s="21"/>
      <c r="B347" s="22"/>
      <c r="C347" s="20" t="s">
        <v>460</v>
      </c>
      <c r="D347" s="20"/>
      <c r="E347" s="21"/>
    </row>
    <row r="348" spans="1:5" ht="16.5" x14ac:dyDescent="0.25">
      <c r="A348" s="21"/>
      <c r="B348" s="22"/>
      <c r="C348" s="20" t="s">
        <v>583</v>
      </c>
      <c r="D348" s="20"/>
      <c r="E348" s="21"/>
    </row>
    <row r="349" spans="1:5" ht="16.5" x14ac:dyDescent="0.25">
      <c r="A349" s="21"/>
      <c r="B349" s="22"/>
      <c r="C349" s="20" t="s">
        <v>584</v>
      </c>
      <c r="D349" s="20"/>
      <c r="E349" s="21"/>
    </row>
    <row r="350" spans="1:5" ht="16.5" x14ac:dyDescent="0.25">
      <c r="A350" s="21"/>
      <c r="B350" s="22"/>
      <c r="C350" s="20" t="s">
        <v>585</v>
      </c>
      <c r="D350" s="20"/>
      <c r="E350" s="21"/>
    </row>
    <row r="351" spans="1:5" ht="16.5" x14ac:dyDescent="0.25">
      <c r="A351" s="21" t="s">
        <v>588</v>
      </c>
      <c r="B351" s="22" t="s">
        <v>589</v>
      </c>
      <c r="C351" s="20" t="s">
        <v>590</v>
      </c>
      <c r="D351" s="20" t="s">
        <v>596</v>
      </c>
      <c r="E351" s="21"/>
    </row>
    <row r="352" spans="1:5" ht="16.5" x14ac:dyDescent="0.25">
      <c r="A352" s="21"/>
      <c r="B352" s="22"/>
      <c r="C352" s="18"/>
      <c r="D352" s="20" t="s">
        <v>597</v>
      </c>
      <c r="E352" s="21"/>
    </row>
    <row r="353" spans="1:5" ht="16.5" x14ac:dyDescent="0.25">
      <c r="A353" s="21"/>
      <c r="B353" s="22"/>
      <c r="C353" s="20" t="s">
        <v>591</v>
      </c>
      <c r="D353" s="20" t="s">
        <v>598</v>
      </c>
      <c r="E353" s="21"/>
    </row>
    <row r="354" spans="1:5" ht="33" x14ac:dyDescent="0.25">
      <c r="A354" s="21"/>
      <c r="B354" s="22"/>
      <c r="C354" s="20" t="s">
        <v>592</v>
      </c>
      <c r="D354" s="20" t="s">
        <v>599</v>
      </c>
      <c r="E354" s="21"/>
    </row>
    <row r="355" spans="1:5" ht="33" x14ac:dyDescent="0.25">
      <c r="A355" s="21"/>
      <c r="B355" s="22"/>
      <c r="C355" s="20" t="s">
        <v>593</v>
      </c>
      <c r="D355" s="20"/>
      <c r="E355" s="21"/>
    </row>
    <row r="356" spans="1:5" ht="16.5" x14ac:dyDescent="0.25">
      <c r="A356" s="21"/>
      <c r="B356" s="22"/>
      <c r="C356" s="20" t="s">
        <v>594</v>
      </c>
      <c r="D356" s="20"/>
      <c r="E356" s="21"/>
    </row>
    <row r="357" spans="1:5" ht="16.5" x14ac:dyDescent="0.25">
      <c r="A357" s="21"/>
      <c r="B357" s="22"/>
      <c r="C357" s="20" t="s">
        <v>595</v>
      </c>
      <c r="D357" s="20"/>
      <c r="E357" s="21"/>
    </row>
    <row r="358" spans="1:5" ht="16.5" x14ac:dyDescent="0.25">
      <c r="A358" s="21" t="s">
        <v>600</v>
      </c>
      <c r="B358" s="22" t="s">
        <v>601</v>
      </c>
      <c r="C358" s="20" t="s">
        <v>602</v>
      </c>
      <c r="D358" s="20" t="s">
        <v>608</v>
      </c>
      <c r="E358" s="21"/>
    </row>
    <row r="359" spans="1:5" ht="16.5" x14ac:dyDescent="0.25">
      <c r="A359" s="21"/>
      <c r="B359" s="22"/>
      <c r="C359" s="18"/>
      <c r="D359" s="20" t="s">
        <v>609</v>
      </c>
      <c r="E359" s="21"/>
    </row>
    <row r="360" spans="1:5" ht="16.5" x14ac:dyDescent="0.25">
      <c r="A360" s="21"/>
      <c r="B360" s="22"/>
      <c r="C360" s="20" t="s">
        <v>603</v>
      </c>
      <c r="D360" s="20" t="s">
        <v>610</v>
      </c>
      <c r="E360" s="21"/>
    </row>
    <row r="361" spans="1:5" ht="33" x14ac:dyDescent="0.25">
      <c r="A361" s="21"/>
      <c r="B361" s="22"/>
      <c r="C361" s="20" t="s">
        <v>604</v>
      </c>
      <c r="D361" s="20"/>
      <c r="E361" s="21"/>
    </row>
    <row r="362" spans="1:5" ht="16.5" x14ac:dyDescent="0.25">
      <c r="A362" s="21"/>
      <c r="B362" s="22"/>
      <c r="C362" s="20" t="s">
        <v>605</v>
      </c>
      <c r="D362" s="20"/>
      <c r="E362" s="21"/>
    </row>
    <row r="363" spans="1:5" ht="16.5" x14ac:dyDescent="0.25">
      <c r="A363" s="21"/>
      <c r="B363" s="22"/>
      <c r="C363" s="20" t="s">
        <v>606</v>
      </c>
      <c r="D363" s="20"/>
      <c r="E363" s="21"/>
    </row>
    <row r="364" spans="1:5" ht="16.5" x14ac:dyDescent="0.25">
      <c r="A364" s="21"/>
      <c r="B364" s="22"/>
      <c r="C364" s="20" t="s">
        <v>607</v>
      </c>
      <c r="D364" s="20"/>
      <c r="E364" s="21"/>
    </row>
    <row r="365" spans="1:5" ht="16.5" x14ac:dyDescent="0.25">
      <c r="A365" s="21" t="s">
        <v>611</v>
      </c>
      <c r="B365" s="22" t="s">
        <v>612</v>
      </c>
      <c r="C365" s="20" t="s">
        <v>613</v>
      </c>
      <c r="D365" s="20" t="s">
        <v>622</v>
      </c>
      <c r="E365" s="21"/>
    </row>
    <row r="366" spans="1:5" ht="16.5" x14ac:dyDescent="0.25">
      <c r="A366" s="21"/>
      <c r="B366" s="22"/>
      <c r="C366" s="18"/>
      <c r="D366" s="20" t="s">
        <v>623</v>
      </c>
      <c r="E366" s="21"/>
    </row>
    <row r="367" spans="1:5" ht="16.5" x14ac:dyDescent="0.25">
      <c r="A367" s="21"/>
      <c r="B367" s="22"/>
      <c r="C367" s="20" t="s">
        <v>614</v>
      </c>
      <c r="D367" s="20" t="s">
        <v>624</v>
      </c>
      <c r="E367" s="21"/>
    </row>
    <row r="368" spans="1:5" ht="16.5" x14ac:dyDescent="0.25">
      <c r="A368" s="21"/>
      <c r="B368" s="22"/>
      <c r="C368" s="20" t="s">
        <v>615</v>
      </c>
      <c r="D368" s="20" t="s">
        <v>625</v>
      </c>
      <c r="E368" s="21"/>
    </row>
    <row r="369" spans="1:5" ht="16.5" x14ac:dyDescent="0.25">
      <c r="A369" s="21"/>
      <c r="B369" s="22"/>
      <c r="C369" s="20" t="s">
        <v>616</v>
      </c>
      <c r="D369" s="20"/>
      <c r="E369" s="21"/>
    </row>
    <row r="370" spans="1:5" ht="16.5" x14ac:dyDescent="0.25">
      <c r="A370" s="21"/>
      <c r="B370" s="22"/>
      <c r="C370" s="20" t="s">
        <v>617</v>
      </c>
      <c r="D370" s="20"/>
      <c r="E370" s="21"/>
    </row>
    <row r="371" spans="1:5" ht="16.5" x14ac:dyDescent="0.25">
      <c r="A371" s="21"/>
      <c r="B371" s="22"/>
      <c r="C371" s="20" t="s">
        <v>618</v>
      </c>
      <c r="D371" s="20"/>
      <c r="E371" s="21"/>
    </row>
    <row r="372" spans="1:5" ht="16.5" x14ac:dyDescent="0.25">
      <c r="A372" s="21"/>
      <c r="B372" s="22"/>
      <c r="C372" s="20" t="s">
        <v>619</v>
      </c>
      <c r="D372" s="20"/>
      <c r="E372" s="21"/>
    </row>
    <row r="373" spans="1:5" ht="16.5" x14ac:dyDescent="0.25">
      <c r="A373" s="21"/>
      <c r="B373" s="22"/>
      <c r="C373" s="20" t="s">
        <v>620</v>
      </c>
      <c r="D373" s="20"/>
      <c r="E373" s="21"/>
    </row>
    <row r="374" spans="1:5" ht="16.5" x14ac:dyDescent="0.25">
      <c r="A374" s="21"/>
      <c r="B374" s="22"/>
      <c r="C374" s="20" t="s">
        <v>621</v>
      </c>
      <c r="D374" s="20"/>
      <c r="E374" s="21"/>
    </row>
    <row r="375" spans="1:5" ht="16.5" x14ac:dyDescent="0.25">
      <c r="A375" s="19" t="s">
        <v>64</v>
      </c>
      <c r="B375" s="19" t="s">
        <v>52</v>
      </c>
      <c r="C375" s="19" t="s">
        <v>45</v>
      </c>
      <c r="D375" s="19" t="s">
        <v>85</v>
      </c>
      <c r="E375" s="19" t="s">
        <v>44</v>
      </c>
    </row>
    <row r="376" spans="1:5" ht="16.5" x14ac:dyDescent="0.25">
      <c r="A376" s="21">
        <v>69</v>
      </c>
      <c r="B376" s="22" t="s">
        <v>626</v>
      </c>
      <c r="C376" s="20" t="s">
        <v>627</v>
      </c>
      <c r="D376" s="20" t="s">
        <v>638</v>
      </c>
      <c r="E376" s="21" t="s">
        <v>643</v>
      </c>
    </row>
    <row r="377" spans="1:5" ht="16.5" x14ac:dyDescent="0.25">
      <c r="A377" s="21"/>
      <c r="B377" s="22"/>
      <c r="C377" s="18"/>
      <c r="D377" s="20" t="s">
        <v>639</v>
      </c>
      <c r="E377" s="21"/>
    </row>
    <row r="378" spans="1:5" ht="33" x14ac:dyDescent="0.25">
      <c r="A378" s="21"/>
      <c r="B378" s="22"/>
      <c r="C378" s="20" t="s">
        <v>628</v>
      </c>
      <c r="D378" s="20" t="s">
        <v>640</v>
      </c>
      <c r="E378" s="21"/>
    </row>
    <row r="379" spans="1:5" ht="16.5" x14ac:dyDescent="0.25">
      <c r="A379" s="21"/>
      <c r="B379" s="22"/>
      <c r="C379" s="20" t="s">
        <v>629</v>
      </c>
      <c r="D379" s="20" t="s">
        <v>641</v>
      </c>
      <c r="E379" s="21"/>
    </row>
    <row r="380" spans="1:5" ht="16.5" x14ac:dyDescent="0.25">
      <c r="A380" s="21"/>
      <c r="B380" s="22"/>
      <c r="C380" s="20" t="s">
        <v>630</v>
      </c>
      <c r="D380" s="20" t="s">
        <v>642</v>
      </c>
      <c r="E380" s="21"/>
    </row>
    <row r="381" spans="1:5" ht="16.5" x14ac:dyDescent="0.25">
      <c r="A381" s="21"/>
      <c r="B381" s="22"/>
      <c r="C381" s="20" t="s">
        <v>631</v>
      </c>
      <c r="D381" s="20"/>
      <c r="E381" s="21"/>
    </row>
    <row r="382" spans="1:5" ht="16.5" x14ac:dyDescent="0.25">
      <c r="A382" s="21"/>
      <c r="B382" s="22"/>
      <c r="C382" s="20" t="s">
        <v>632</v>
      </c>
      <c r="D382" s="20"/>
      <c r="E382" s="21"/>
    </row>
    <row r="383" spans="1:5" ht="16.5" x14ac:dyDescent="0.25">
      <c r="A383" s="21"/>
      <c r="B383" s="22"/>
      <c r="C383" s="20" t="s">
        <v>633</v>
      </c>
      <c r="D383" s="20"/>
      <c r="E383" s="21"/>
    </row>
    <row r="384" spans="1:5" ht="33" x14ac:dyDescent="0.25">
      <c r="A384" s="21"/>
      <c r="B384" s="22"/>
      <c r="C384" s="20" t="s">
        <v>634</v>
      </c>
      <c r="D384" s="20"/>
      <c r="E384" s="21"/>
    </row>
    <row r="385" spans="1:5" ht="16.5" x14ac:dyDescent="0.25">
      <c r="A385" s="21"/>
      <c r="B385" s="22"/>
      <c r="C385" s="20" t="s">
        <v>635</v>
      </c>
      <c r="D385" s="20"/>
      <c r="E385" s="21"/>
    </row>
    <row r="386" spans="1:5" ht="16.5" x14ac:dyDescent="0.25">
      <c r="A386" s="21"/>
      <c r="B386" s="22"/>
      <c r="C386" s="20" t="s">
        <v>636</v>
      </c>
      <c r="D386" s="20"/>
      <c r="E386" s="21"/>
    </row>
    <row r="387" spans="1:5" ht="33" x14ac:dyDescent="0.25">
      <c r="A387" s="21"/>
      <c r="B387" s="22"/>
      <c r="C387" s="20" t="s">
        <v>637</v>
      </c>
      <c r="D387" s="20"/>
      <c r="E387" s="21"/>
    </row>
  </sheetData>
  <mergeCells count="114">
    <mergeCell ref="A365:A374"/>
    <mergeCell ref="B365:B374"/>
    <mergeCell ref="E365:E374"/>
    <mergeCell ref="A376:A387"/>
    <mergeCell ref="B376:B387"/>
    <mergeCell ref="E376:E387"/>
    <mergeCell ref="A351:A357"/>
    <mergeCell ref="B351:B357"/>
    <mergeCell ref="E351:E357"/>
    <mergeCell ref="A358:A364"/>
    <mergeCell ref="B358:B364"/>
    <mergeCell ref="E358:E364"/>
    <mergeCell ref="A333:A339"/>
    <mergeCell ref="B333:B339"/>
    <mergeCell ref="E333:E339"/>
    <mergeCell ref="A340:A350"/>
    <mergeCell ref="B340:B350"/>
    <mergeCell ref="E340:E350"/>
    <mergeCell ref="A313:A323"/>
    <mergeCell ref="B313:B323"/>
    <mergeCell ref="E313:E323"/>
    <mergeCell ref="A324:A332"/>
    <mergeCell ref="B324:B332"/>
    <mergeCell ref="E324:E332"/>
    <mergeCell ref="A293:A302"/>
    <mergeCell ref="B293:B302"/>
    <mergeCell ref="E293:E302"/>
    <mergeCell ref="A303:A312"/>
    <mergeCell ref="B303:B312"/>
    <mergeCell ref="E303:E312"/>
    <mergeCell ref="A273:A283"/>
    <mergeCell ref="B273:B283"/>
    <mergeCell ref="E273:E283"/>
    <mergeCell ref="A284:A292"/>
    <mergeCell ref="B284:B292"/>
    <mergeCell ref="E284:E292"/>
    <mergeCell ref="A250:A263"/>
    <mergeCell ref="B250:B263"/>
    <mergeCell ref="E250:E263"/>
    <mergeCell ref="A264:A272"/>
    <mergeCell ref="B264:B272"/>
    <mergeCell ref="E264:E272"/>
    <mergeCell ref="A225:A238"/>
    <mergeCell ref="B225:B238"/>
    <mergeCell ref="E225:E238"/>
    <mergeCell ref="A239:A249"/>
    <mergeCell ref="B239:B249"/>
    <mergeCell ref="E239:E249"/>
    <mergeCell ref="A204:A213"/>
    <mergeCell ref="B204:B213"/>
    <mergeCell ref="E204:E213"/>
    <mergeCell ref="A214:A224"/>
    <mergeCell ref="B214:B224"/>
    <mergeCell ref="E214:E224"/>
    <mergeCell ref="A183:A192"/>
    <mergeCell ref="B183:B192"/>
    <mergeCell ref="E183:E192"/>
    <mergeCell ref="A193:A203"/>
    <mergeCell ref="B193:B203"/>
    <mergeCell ref="E193:E203"/>
    <mergeCell ref="A162:A170"/>
    <mergeCell ref="B162:B170"/>
    <mergeCell ref="E162:E170"/>
    <mergeCell ref="A171:A182"/>
    <mergeCell ref="B171:B182"/>
    <mergeCell ref="E171:E182"/>
    <mergeCell ref="A139:A150"/>
    <mergeCell ref="B139:B150"/>
    <mergeCell ref="E139:E150"/>
    <mergeCell ref="A152:A161"/>
    <mergeCell ref="B152:B161"/>
    <mergeCell ref="E152:E161"/>
    <mergeCell ref="A120:A128"/>
    <mergeCell ref="B120:B128"/>
    <mergeCell ref="E120:E128"/>
    <mergeCell ref="A129:A138"/>
    <mergeCell ref="B129:B138"/>
    <mergeCell ref="E129:E138"/>
    <mergeCell ref="A104:A111"/>
    <mergeCell ref="B104:B111"/>
    <mergeCell ref="E104:E111"/>
    <mergeCell ref="A112:A119"/>
    <mergeCell ref="B112:B119"/>
    <mergeCell ref="E112:E119"/>
    <mergeCell ref="A81:A90"/>
    <mergeCell ref="B81:B90"/>
    <mergeCell ref="E81:E90"/>
    <mergeCell ref="A91:A103"/>
    <mergeCell ref="B91:B103"/>
    <mergeCell ref="E91:E103"/>
    <mergeCell ref="A61:A69"/>
    <mergeCell ref="B61:B69"/>
    <mergeCell ref="E61:E69"/>
    <mergeCell ref="A70:A80"/>
    <mergeCell ref="B70:B80"/>
    <mergeCell ref="E70:E80"/>
    <mergeCell ref="A42:A51"/>
    <mergeCell ref="B42:B51"/>
    <mergeCell ref="E42:E51"/>
    <mergeCell ref="A52:A60"/>
    <mergeCell ref="B52:B60"/>
    <mergeCell ref="E52:E60"/>
    <mergeCell ref="A20:A29"/>
    <mergeCell ref="B20:B29"/>
    <mergeCell ref="E20:E29"/>
    <mergeCell ref="A30:A41"/>
    <mergeCell ref="B30:B41"/>
    <mergeCell ref="E30:E41"/>
    <mergeCell ref="A2:A9"/>
    <mergeCell ref="B2:B9"/>
    <mergeCell ref="E2:E9"/>
    <mergeCell ref="A10:A19"/>
    <mergeCell ref="B10:B19"/>
    <mergeCell ref="E10:E19"/>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0"/>
  <sheetViews>
    <sheetView workbookViewId="0">
      <pane xSplit="3" ySplit="1" topLeftCell="H8" activePane="bottomRight" state="frozen"/>
      <selection pane="topRight" activeCell="D1" sqref="D1"/>
      <selection pane="bottomLeft" activeCell="A2" sqref="A2"/>
      <selection pane="bottomRight" activeCell="I8" sqref="I8"/>
    </sheetView>
  </sheetViews>
  <sheetFormatPr baseColWidth="10" defaultRowHeight="15" x14ac:dyDescent="0.25"/>
  <cols>
    <col min="1" max="1" width="5.7109375" style="24" bestFit="1" customWidth="1"/>
    <col min="2" max="2" width="38.42578125" style="24" customWidth="1"/>
    <col min="3" max="3" width="37.140625" style="24" bestFit="1" customWidth="1"/>
    <col min="4" max="4" width="24.7109375" style="24" bestFit="1" customWidth="1"/>
    <col min="5" max="5" width="11.42578125" style="24"/>
    <col min="6" max="6" width="21" style="24" customWidth="1"/>
    <col min="7" max="7" width="65.28515625" style="23" customWidth="1"/>
    <col min="8" max="8" width="41.28515625" style="23" customWidth="1"/>
    <col min="9" max="9" width="44.42578125" style="23" customWidth="1"/>
    <col min="10" max="10" width="46.42578125" style="23" customWidth="1"/>
    <col min="11" max="11" width="61" style="23" customWidth="1"/>
    <col min="12" max="16384" width="11.42578125" style="24"/>
  </cols>
  <sheetData>
    <row r="1" spans="1:15" ht="30" x14ac:dyDescent="0.25">
      <c r="A1" s="25" t="s">
        <v>64</v>
      </c>
      <c r="B1" s="25" t="s">
        <v>52</v>
      </c>
      <c r="C1" s="25" t="s">
        <v>43</v>
      </c>
      <c r="D1" s="25" t="s">
        <v>65</v>
      </c>
      <c r="E1" s="25" t="s">
        <v>47</v>
      </c>
      <c r="F1" s="25" t="s">
        <v>66</v>
      </c>
      <c r="G1" s="26" t="s">
        <v>45</v>
      </c>
      <c r="H1" s="26" t="s">
        <v>85</v>
      </c>
      <c r="I1" s="26" t="s">
        <v>46</v>
      </c>
      <c r="J1" s="26" t="s">
        <v>95</v>
      </c>
      <c r="K1" s="26" t="s">
        <v>44</v>
      </c>
      <c r="L1" s="25" t="s">
        <v>97</v>
      </c>
      <c r="M1" s="25" t="s">
        <v>98</v>
      </c>
      <c r="N1" s="25" t="s">
        <v>96</v>
      </c>
      <c r="O1" s="25"/>
    </row>
    <row r="2" spans="1:15" ht="165" x14ac:dyDescent="0.25">
      <c r="A2" s="25">
        <v>1</v>
      </c>
      <c r="B2" s="25" t="s">
        <v>53</v>
      </c>
      <c r="C2" s="25" t="s">
        <v>16</v>
      </c>
      <c r="D2" s="25" t="s">
        <v>0</v>
      </c>
      <c r="E2" s="25" t="s">
        <v>48</v>
      </c>
      <c r="F2" s="25" t="s">
        <v>67</v>
      </c>
      <c r="G2" s="26" t="s">
        <v>61</v>
      </c>
      <c r="H2" s="26" t="s">
        <v>84</v>
      </c>
      <c r="I2" s="26"/>
      <c r="J2" s="26"/>
      <c r="K2" s="26" t="s">
        <v>644</v>
      </c>
      <c r="L2" s="25" t="s">
        <v>99</v>
      </c>
      <c r="M2" s="25" t="s">
        <v>102</v>
      </c>
      <c r="N2" s="25" t="s">
        <v>103</v>
      </c>
      <c r="O2" s="25"/>
    </row>
    <row r="3" spans="1:15" ht="45" x14ac:dyDescent="0.25">
      <c r="A3" s="25">
        <v>2</v>
      </c>
      <c r="B3" s="25" t="s">
        <v>62</v>
      </c>
      <c r="C3" s="25" t="s">
        <v>60</v>
      </c>
      <c r="D3" s="25" t="s">
        <v>0</v>
      </c>
      <c r="E3" s="25" t="s">
        <v>48</v>
      </c>
      <c r="F3" s="25" t="s">
        <v>67</v>
      </c>
      <c r="G3" s="26" t="s">
        <v>63</v>
      </c>
      <c r="H3" s="26" t="s">
        <v>84</v>
      </c>
      <c r="I3" s="26"/>
      <c r="J3" s="26"/>
      <c r="K3" s="26"/>
      <c r="L3" s="25"/>
      <c r="M3" s="25" t="s">
        <v>99</v>
      </c>
      <c r="N3" s="25" t="s">
        <v>102</v>
      </c>
      <c r="O3" s="25" t="s">
        <v>104</v>
      </c>
    </row>
    <row r="4" spans="1:15" ht="409.5" x14ac:dyDescent="0.25">
      <c r="A4" s="25">
        <v>3</v>
      </c>
      <c r="B4" s="25" t="s">
        <v>70</v>
      </c>
      <c r="C4" s="25" t="s">
        <v>1</v>
      </c>
      <c r="D4" s="25" t="s">
        <v>0</v>
      </c>
      <c r="E4" s="25" t="s">
        <v>48</v>
      </c>
      <c r="F4" s="25" t="s">
        <v>67</v>
      </c>
      <c r="G4" s="26" t="s">
        <v>79</v>
      </c>
      <c r="H4" s="26" t="s">
        <v>86</v>
      </c>
      <c r="I4" s="26" t="s">
        <v>54</v>
      </c>
      <c r="J4" s="27" t="s">
        <v>730</v>
      </c>
      <c r="K4" s="26"/>
      <c r="L4" s="25" t="s">
        <v>99</v>
      </c>
      <c r="M4" s="25" t="s">
        <v>102</v>
      </c>
      <c r="N4" s="25" t="s">
        <v>105</v>
      </c>
      <c r="O4" s="25"/>
    </row>
    <row r="5" spans="1:15" ht="165" x14ac:dyDescent="0.25">
      <c r="A5" s="25">
        <v>4</v>
      </c>
      <c r="B5" s="25" t="s">
        <v>71</v>
      </c>
      <c r="C5" s="25" t="s">
        <v>4</v>
      </c>
      <c r="D5" s="25" t="s">
        <v>0</v>
      </c>
      <c r="E5" s="25" t="s">
        <v>48</v>
      </c>
      <c r="F5" s="25" t="s">
        <v>67</v>
      </c>
      <c r="G5" s="26" t="s">
        <v>76</v>
      </c>
      <c r="H5" s="26"/>
      <c r="I5" s="26"/>
      <c r="J5" s="26"/>
      <c r="K5" s="26" t="s">
        <v>74</v>
      </c>
      <c r="L5" s="25" t="s">
        <v>99</v>
      </c>
      <c r="M5" s="25" t="s">
        <v>102</v>
      </c>
      <c r="N5" s="25" t="s">
        <v>106</v>
      </c>
      <c r="O5" s="25"/>
    </row>
    <row r="6" spans="1:15" ht="45" x14ac:dyDescent="0.25">
      <c r="A6" s="25">
        <v>5</v>
      </c>
      <c r="B6" s="25" t="s">
        <v>75</v>
      </c>
      <c r="C6" s="25" t="s">
        <v>57</v>
      </c>
      <c r="D6" s="25" t="s">
        <v>0</v>
      </c>
      <c r="E6" s="25" t="s">
        <v>48</v>
      </c>
      <c r="F6" s="25" t="s">
        <v>67</v>
      </c>
      <c r="G6" s="26" t="s">
        <v>645</v>
      </c>
      <c r="H6" s="26"/>
      <c r="I6" s="26"/>
      <c r="J6" s="26"/>
      <c r="K6" s="26"/>
      <c r="L6" s="25"/>
      <c r="M6" s="25" t="s">
        <v>99</v>
      </c>
      <c r="N6" s="25" t="s">
        <v>102</v>
      </c>
      <c r="O6" s="25" t="s">
        <v>107</v>
      </c>
    </row>
    <row r="7" spans="1:15" ht="180" x14ac:dyDescent="0.25">
      <c r="A7" s="25">
        <v>6</v>
      </c>
      <c r="B7" s="25" t="s">
        <v>77</v>
      </c>
      <c r="C7" s="25" t="s">
        <v>56</v>
      </c>
      <c r="D7" s="25" t="s">
        <v>0</v>
      </c>
      <c r="E7" s="25" t="s">
        <v>48</v>
      </c>
      <c r="F7" s="25" t="s">
        <v>67</v>
      </c>
      <c r="G7" s="26" t="s">
        <v>646</v>
      </c>
      <c r="H7" s="26"/>
      <c r="I7" s="26"/>
      <c r="J7" s="26"/>
      <c r="K7" s="26" t="s">
        <v>81</v>
      </c>
      <c r="L7" s="25" t="s">
        <v>99</v>
      </c>
      <c r="M7" s="25" t="s">
        <v>102</v>
      </c>
      <c r="N7" s="25" t="s">
        <v>108</v>
      </c>
      <c r="O7" s="25"/>
    </row>
    <row r="8" spans="1:15" ht="409.5" x14ac:dyDescent="0.25">
      <c r="A8" s="25">
        <v>7</v>
      </c>
      <c r="B8" s="25" t="s">
        <v>82</v>
      </c>
      <c r="C8" s="25" t="s">
        <v>55</v>
      </c>
      <c r="D8" s="25" t="s">
        <v>0</v>
      </c>
      <c r="E8" s="25" t="s">
        <v>48</v>
      </c>
      <c r="F8" s="25" t="s">
        <v>67</v>
      </c>
      <c r="G8" s="26" t="s">
        <v>89</v>
      </c>
      <c r="H8" s="26" t="s">
        <v>88</v>
      </c>
      <c r="I8" s="26" t="s">
        <v>90</v>
      </c>
      <c r="J8" s="26"/>
      <c r="K8" s="26"/>
      <c r="L8" s="25" t="s">
        <v>99</v>
      </c>
      <c r="M8" s="25" t="s">
        <v>102</v>
      </c>
      <c r="N8" s="25" t="s">
        <v>109</v>
      </c>
      <c r="O8" s="25"/>
    </row>
    <row r="9" spans="1:15" ht="60" x14ac:dyDescent="0.25">
      <c r="A9" s="25">
        <v>8</v>
      </c>
      <c r="B9" s="25" t="s">
        <v>83</v>
      </c>
      <c r="C9" s="25" t="s">
        <v>59</v>
      </c>
      <c r="D9" s="25" t="s">
        <v>0</v>
      </c>
      <c r="E9" s="25" t="s">
        <v>48</v>
      </c>
      <c r="F9" s="25" t="s">
        <v>67</v>
      </c>
      <c r="G9" s="26" t="s">
        <v>93</v>
      </c>
      <c r="H9" s="26" t="s">
        <v>87</v>
      </c>
      <c r="I9" s="26"/>
      <c r="J9" s="26"/>
      <c r="K9" s="26"/>
      <c r="L9" s="25"/>
      <c r="M9" s="25" t="s">
        <v>99</v>
      </c>
      <c r="N9" s="25" t="s">
        <v>102</v>
      </c>
      <c r="O9" s="25" t="s">
        <v>110</v>
      </c>
    </row>
    <row r="10" spans="1:15" ht="60" x14ac:dyDescent="0.25">
      <c r="A10" s="25">
        <v>9</v>
      </c>
      <c r="B10" s="25" t="s">
        <v>91</v>
      </c>
      <c r="C10" s="25" t="s">
        <v>58</v>
      </c>
      <c r="D10" s="25" t="s">
        <v>0</v>
      </c>
      <c r="E10" s="25" t="s">
        <v>48</v>
      </c>
      <c r="F10" s="25" t="s">
        <v>67</v>
      </c>
      <c r="G10" s="26" t="s">
        <v>94</v>
      </c>
      <c r="H10" s="26" t="s">
        <v>92</v>
      </c>
      <c r="I10" s="26"/>
      <c r="J10" s="26"/>
      <c r="K10" s="26"/>
      <c r="L10" s="25"/>
      <c r="M10" s="25" t="s">
        <v>99</v>
      </c>
      <c r="N10" s="25" t="s">
        <v>102</v>
      </c>
      <c r="O10" s="25" t="s">
        <v>111</v>
      </c>
    </row>
    <row r="11" spans="1:15" ht="150" x14ac:dyDescent="0.25">
      <c r="A11" s="25">
        <v>10</v>
      </c>
      <c r="B11" s="25" t="s">
        <v>150</v>
      </c>
      <c r="C11" s="25" t="s">
        <v>18</v>
      </c>
      <c r="D11" s="25" t="s">
        <v>0</v>
      </c>
      <c r="E11" s="25" t="s">
        <v>48</v>
      </c>
      <c r="F11" s="25" t="s">
        <v>67</v>
      </c>
      <c r="G11" s="26" t="s">
        <v>731</v>
      </c>
      <c r="H11" s="26" t="s">
        <v>732</v>
      </c>
      <c r="I11" s="26"/>
      <c r="J11" s="26"/>
      <c r="K11" s="26" t="s">
        <v>160</v>
      </c>
      <c r="L11" s="25" t="s">
        <v>99</v>
      </c>
      <c r="M11" s="25" t="s">
        <v>102</v>
      </c>
      <c r="N11" s="25" t="s">
        <v>112</v>
      </c>
      <c r="O11" s="25"/>
    </row>
    <row r="12" spans="1:15" ht="150" x14ac:dyDescent="0.25">
      <c r="A12" s="25">
        <v>11</v>
      </c>
      <c r="B12" s="25" t="s">
        <v>161</v>
      </c>
      <c r="C12" s="25" t="s">
        <v>3</v>
      </c>
      <c r="D12" s="25" t="s">
        <v>0</v>
      </c>
      <c r="E12" s="25" t="s">
        <v>48</v>
      </c>
      <c r="F12" s="25" t="s">
        <v>67</v>
      </c>
      <c r="G12" s="26" t="s">
        <v>733</v>
      </c>
      <c r="H12" s="26" t="s">
        <v>734</v>
      </c>
      <c r="I12" s="26"/>
      <c r="J12" s="26"/>
      <c r="K12" s="26"/>
      <c r="L12" s="25" t="s">
        <v>99</v>
      </c>
      <c r="M12" s="25" t="s">
        <v>102</v>
      </c>
      <c r="N12" s="25" t="s">
        <v>113</v>
      </c>
      <c r="O12" s="25"/>
    </row>
    <row r="13" spans="1:15" ht="150" x14ac:dyDescent="0.25">
      <c r="A13" s="25">
        <v>12</v>
      </c>
      <c r="B13" s="25" t="s">
        <v>174</v>
      </c>
      <c r="C13" s="25" t="s">
        <v>2</v>
      </c>
      <c r="D13" s="25" t="s">
        <v>0</v>
      </c>
      <c r="E13" s="25" t="s">
        <v>48</v>
      </c>
      <c r="F13" s="25" t="s">
        <v>67</v>
      </c>
      <c r="G13" s="26" t="s">
        <v>735</v>
      </c>
      <c r="H13" s="26" t="s">
        <v>736</v>
      </c>
      <c r="I13" s="26"/>
      <c r="J13" s="26"/>
      <c r="K13" s="26"/>
      <c r="L13" s="25" t="s">
        <v>99</v>
      </c>
      <c r="M13" s="25" t="s">
        <v>102</v>
      </c>
      <c r="N13" s="25" t="s">
        <v>114</v>
      </c>
      <c r="O13" s="25"/>
    </row>
    <row r="14" spans="1:15" ht="180" x14ac:dyDescent="0.25">
      <c r="A14" s="25">
        <v>13</v>
      </c>
      <c r="B14" s="25" t="s">
        <v>187</v>
      </c>
      <c r="C14" s="25" t="s">
        <v>12</v>
      </c>
      <c r="D14" s="25" t="s">
        <v>0</v>
      </c>
      <c r="E14" s="25" t="s">
        <v>48</v>
      </c>
      <c r="F14" s="25" t="s">
        <v>67</v>
      </c>
      <c r="G14" s="26" t="s">
        <v>737</v>
      </c>
      <c r="H14" s="26" t="s">
        <v>738</v>
      </c>
      <c r="I14" s="26"/>
      <c r="J14" s="26"/>
      <c r="K14" s="26"/>
      <c r="L14" s="25" t="s">
        <v>99</v>
      </c>
      <c r="M14" s="25" t="s">
        <v>102</v>
      </c>
      <c r="N14" s="25" t="s">
        <v>115</v>
      </c>
      <c r="O14" s="25"/>
    </row>
    <row r="15" spans="1:15" ht="150" x14ac:dyDescent="0.25">
      <c r="A15" s="25">
        <v>14</v>
      </c>
      <c r="B15" s="25" t="s">
        <v>199</v>
      </c>
      <c r="C15" s="25" t="s">
        <v>11</v>
      </c>
      <c r="D15" s="25" t="s">
        <v>0</v>
      </c>
      <c r="E15" s="25" t="s">
        <v>48</v>
      </c>
      <c r="F15" s="25" t="s">
        <v>67</v>
      </c>
      <c r="G15" s="26" t="s">
        <v>739</v>
      </c>
      <c r="H15" s="26" t="s">
        <v>740</v>
      </c>
      <c r="I15" s="26"/>
      <c r="J15" s="26"/>
      <c r="K15" s="26" t="s">
        <v>212</v>
      </c>
      <c r="L15" s="25" t="s">
        <v>99</v>
      </c>
      <c r="M15" s="25" t="s">
        <v>102</v>
      </c>
      <c r="N15" s="25" t="s">
        <v>116</v>
      </c>
      <c r="O15" s="25"/>
    </row>
    <row r="16" spans="1:15" ht="150" x14ac:dyDescent="0.25">
      <c r="A16" s="25">
        <v>15</v>
      </c>
      <c r="B16" s="25" t="s">
        <v>213</v>
      </c>
      <c r="C16" s="25" t="s">
        <v>14</v>
      </c>
      <c r="D16" s="25" t="s">
        <v>0</v>
      </c>
      <c r="E16" s="25" t="s">
        <v>48</v>
      </c>
      <c r="F16" s="25" t="s">
        <v>67</v>
      </c>
      <c r="G16" s="26" t="s">
        <v>741</v>
      </c>
      <c r="H16" s="26" t="s">
        <v>742</v>
      </c>
      <c r="I16" s="26"/>
      <c r="J16" s="26"/>
      <c r="K16" s="26"/>
      <c r="L16" s="25" t="s">
        <v>99</v>
      </c>
      <c r="M16" s="25" t="s">
        <v>102</v>
      </c>
      <c r="N16" s="25" t="s">
        <v>117</v>
      </c>
      <c r="O16" s="25"/>
    </row>
    <row r="17" spans="1:15" ht="150" x14ac:dyDescent="0.25">
      <c r="A17" s="25">
        <v>16</v>
      </c>
      <c r="B17" s="25" t="s">
        <v>225</v>
      </c>
      <c r="C17" s="25" t="s">
        <v>10</v>
      </c>
      <c r="D17" s="25" t="s">
        <v>0</v>
      </c>
      <c r="E17" s="25" t="s">
        <v>48</v>
      </c>
      <c r="F17" s="25" t="s">
        <v>67</v>
      </c>
      <c r="G17" s="26" t="s">
        <v>743</v>
      </c>
      <c r="H17" s="26" t="s">
        <v>744</v>
      </c>
      <c r="I17" s="26"/>
      <c r="J17" s="26"/>
      <c r="K17" s="26" t="s">
        <v>237</v>
      </c>
      <c r="L17" s="25" t="s">
        <v>99</v>
      </c>
      <c r="M17" s="25" t="s">
        <v>102</v>
      </c>
      <c r="N17" s="25" t="s">
        <v>118</v>
      </c>
      <c r="O17" s="25"/>
    </row>
    <row r="18" spans="1:15" ht="165" x14ac:dyDescent="0.25">
      <c r="A18" s="25">
        <v>17</v>
      </c>
      <c r="B18" s="25" t="s">
        <v>238</v>
      </c>
      <c r="C18" s="25" t="s">
        <v>9</v>
      </c>
      <c r="D18" s="25" t="s">
        <v>0</v>
      </c>
      <c r="E18" s="25" t="s">
        <v>48</v>
      </c>
      <c r="F18" s="25" t="s">
        <v>67</v>
      </c>
      <c r="G18" s="26" t="s">
        <v>745</v>
      </c>
      <c r="H18" s="26" t="s">
        <v>746</v>
      </c>
      <c r="I18" s="26"/>
      <c r="J18" s="26"/>
      <c r="K18" s="26" t="s">
        <v>252</v>
      </c>
      <c r="L18" s="25" t="s">
        <v>99</v>
      </c>
      <c r="M18" s="25" t="s">
        <v>102</v>
      </c>
      <c r="N18" s="25" t="s">
        <v>119</v>
      </c>
      <c r="O18" s="25"/>
    </row>
    <row r="19" spans="1:15" ht="150" x14ac:dyDescent="0.25">
      <c r="A19" s="25">
        <v>18</v>
      </c>
      <c r="B19" s="25" t="s">
        <v>253</v>
      </c>
      <c r="C19" s="25" t="s">
        <v>8</v>
      </c>
      <c r="D19" s="25" t="s">
        <v>0</v>
      </c>
      <c r="E19" s="25" t="s">
        <v>48</v>
      </c>
      <c r="F19" s="25" t="s">
        <v>67</v>
      </c>
      <c r="G19" s="26" t="s">
        <v>747</v>
      </c>
      <c r="H19" s="26" t="s">
        <v>748</v>
      </c>
      <c r="I19" s="26"/>
      <c r="J19" s="26"/>
      <c r="K19" s="26"/>
      <c r="L19" s="25" t="s">
        <v>99</v>
      </c>
      <c r="M19" s="25" t="s">
        <v>102</v>
      </c>
      <c r="N19" s="25" t="s">
        <v>120</v>
      </c>
      <c r="O19" s="25"/>
    </row>
    <row r="20" spans="1:15" ht="195" x14ac:dyDescent="0.25">
      <c r="A20" s="25">
        <v>19</v>
      </c>
      <c r="B20" s="25" t="s">
        <v>264</v>
      </c>
      <c r="C20" s="25" t="s">
        <v>7</v>
      </c>
      <c r="D20" s="25" t="s">
        <v>0</v>
      </c>
      <c r="E20" s="25" t="s">
        <v>48</v>
      </c>
      <c r="F20" s="25" t="s">
        <v>67</v>
      </c>
      <c r="G20" s="26" t="s">
        <v>749</v>
      </c>
      <c r="H20" s="26" t="s">
        <v>750</v>
      </c>
      <c r="I20" s="26"/>
      <c r="J20" s="26"/>
      <c r="K20" s="26" t="s">
        <v>272</v>
      </c>
      <c r="L20" s="25" t="s">
        <v>99</v>
      </c>
      <c r="M20" s="25" t="s">
        <v>102</v>
      </c>
      <c r="N20" s="25" t="s">
        <v>121</v>
      </c>
      <c r="O20" s="25"/>
    </row>
    <row r="21" spans="1:15" ht="150" x14ac:dyDescent="0.25">
      <c r="A21" s="25">
        <v>20</v>
      </c>
      <c r="B21" s="25" t="s">
        <v>273</v>
      </c>
      <c r="C21" s="25" t="s">
        <v>6</v>
      </c>
      <c r="D21" s="25" t="s">
        <v>0</v>
      </c>
      <c r="E21" s="25" t="s">
        <v>48</v>
      </c>
      <c r="F21" s="25" t="s">
        <v>67</v>
      </c>
      <c r="G21" s="26" t="s">
        <v>751</v>
      </c>
      <c r="H21" s="26" t="s">
        <v>752</v>
      </c>
      <c r="I21" s="26"/>
      <c r="J21" s="26"/>
      <c r="K21" s="26" t="s">
        <v>284</v>
      </c>
      <c r="L21" s="25" t="s">
        <v>99</v>
      </c>
      <c r="M21" s="25" t="s">
        <v>102</v>
      </c>
      <c r="N21" s="25" t="s">
        <v>122</v>
      </c>
      <c r="O21" s="25"/>
    </row>
    <row r="22" spans="1:15" ht="120" x14ac:dyDescent="0.25">
      <c r="A22" s="25">
        <v>21</v>
      </c>
      <c r="B22" s="25" t="s">
        <v>285</v>
      </c>
      <c r="C22" s="25" t="s">
        <v>5</v>
      </c>
      <c r="D22" s="25" t="s">
        <v>0</v>
      </c>
      <c r="E22" s="25" t="s">
        <v>48</v>
      </c>
      <c r="F22" s="25" t="s">
        <v>67</v>
      </c>
      <c r="G22" s="26" t="s">
        <v>753</v>
      </c>
      <c r="H22" s="26" t="s">
        <v>754</v>
      </c>
      <c r="I22" s="26"/>
      <c r="J22" s="26"/>
      <c r="K22" s="26"/>
      <c r="L22" s="25" t="s">
        <v>99</v>
      </c>
      <c r="M22" s="25" t="s">
        <v>102</v>
      </c>
      <c r="N22" s="25" t="s">
        <v>123</v>
      </c>
      <c r="O22" s="25"/>
    </row>
    <row r="23" spans="1:15" ht="150" x14ac:dyDescent="0.25">
      <c r="A23" s="25">
        <v>22</v>
      </c>
      <c r="B23" s="25" t="s">
        <v>296</v>
      </c>
      <c r="C23" s="25" t="s">
        <v>17</v>
      </c>
      <c r="D23" s="25" t="s">
        <v>0</v>
      </c>
      <c r="E23" s="25" t="s">
        <v>48</v>
      </c>
      <c r="F23" s="25" t="s">
        <v>67</v>
      </c>
      <c r="G23" s="26" t="s">
        <v>755</v>
      </c>
      <c r="H23" s="26" t="s">
        <v>756</v>
      </c>
      <c r="I23" s="26"/>
      <c r="J23" s="26"/>
      <c r="K23" s="26"/>
      <c r="L23" s="25" t="s">
        <v>99</v>
      </c>
      <c r="M23" s="25" t="s">
        <v>102</v>
      </c>
      <c r="N23" s="25" t="s">
        <v>124</v>
      </c>
      <c r="O23" s="25"/>
    </row>
    <row r="24" spans="1:15" ht="165" x14ac:dyDescent="0.25">
      <c r="A24" s="25">
        <v>23</v>
      </c>
      <c r="B24" s="25" t="s">
        <v>309</v>
      </c>
      <c r="C24" s="25" t="s">
        <v>15</v>
      </c>
      <c r="D24" s="25" t="s">
        <v>0</v>
      </c>
      <c r="E24" s="25" t="s">
        <v>48</v>
      </c>
      <c r="F24" s="25" t="s">
        <v>67</v>
      </c>
      <c r="G24" s="26" t="s">
        <v>757</v>
      </c>
      <c r="H24" s="26" t="s">
        <v>758</v>
      </c>
      <c r="I24" s="26"/>
      <c r="J24" s="26"/>
      <c r="K24" s="26"/>
      <c r="L24" s="25" t="s">
        <v>99</v>
      </c>
      <c r="M24" s="25" t="s">
        <v>102</v>
      </c>
      <c r="N24" s="25" t="s">
        <v>125</v>
      </c>
      <c r="O24" s="25"/>
    </row>
    <row r="25" spans="1:15" ht="195" x14ac:dyDescent="0.25">
      <c r="A25" s="25">
        <v>24</v>
      </c>
      <c r="B25" s="25" t="s">
        <v>323</v>
      </c>
      <c r="C25" s="25" t="s">
        <v>13</v>
      </c>
      <c r="D25" s="25" t="s">
        <v>0</v>
      </c>
      <c r="E25" s="25" t="s">
        <v>48</v>
      </c>
      <c r="F25" s="25" t="s">
        <v>67</v>
      </c>
      <c r="G25" s="26" t="s">
        <v>759</v>
      </c>
      <c r="H25" s="26" t="s">
        <v>760</v>
      </c>
      <c r="I25" s="26"/>
      <c r="J25" s="26"/>
      <c r="K25" s="26"/>
      <c r="L25" s="25" t="s">
        <v>99</v>
      </c>
      <c r="M25" s="25" t="s">
        <v>102</v>
      </c>
      <c r="N25" s="25" t="s">
        <v>126</v>
      </c>
      <c r="O25" s="25"/>
    </row>
    <row r="26" spans="1:15" ht="135" x14ac:dyDescent="0.25">
      <c r="A26" s="25">
        <v>25</v>
      </c>
      <c r="B26" s="25" t="s">
        <v>647</v>
      </c>
      <c r="C26" s="25" t="s">
        <v>34</v>
      </c>
      <c r="D26" s="25" t="s">
        <v>19</v>
      </c>
      <c r="E26" s="25" t="s">
        <v>49</v>
      </c>
      <c r="F26" s="25" t="s">
        <v>68</v>
      </c>
      <c r="G26" s="26" t="s">
        <v>761</v>
      </c>
      <c r="H26" s="26" t="s">
        <v>762</v>
      </c>
      <c r="I26" s="26"/>
      <c r="J26" s="26"/>
      <c r="K26" s="26" t="s">
        <v>648</v>
      </c>
      <c r="L26" s="25" t="s">
        <v>100</v>
      </c>
      <c r="M26" s="25" t="s">
        <v>102</v>
      </c>
      <c r="N26" s="25" t="s">
        <v>127</v>
      </c>
      <c r="O26" s="25"/>
    </row>
    <row r="27" spans="1:15" ht="120" x14ac:dyDescent="0.25">
      <c r="A27" s="25">
        <v>26</v>
      </c>
      <c r="B27" s="25" t="s">
        <v>649</v>
      </c>
      <c r="C27" s="25" t="s">
        <v>34</v>
      </c>
      <c r="D27" s="25" t="s">
        <v>19</v>
      </c>
      <c r="E27" s="25" t="s">
        <v>49</v>
      </c>
      <c r="F27" s="25" t="s">
        <v>68</v>
      </c>
      <c r="G27" s="26" t="s">
        <v>763</v>
      </c>
      <c r="H27" s="26" t="s">
        <v>764</v>
      </c>
      <c r="I27" s="26"/>
      <c r="J27" s="26"/>
      <c r="K27" s="26" t="s">
        <v>650</v>
      </c>
      <c r="L27" s="25" t="s">
        <v>100</v>
      </c>
      <c r="M27" s="25" t="s">
        <v>102</v>
      </c>
      <c r="N27" s="25" t="s">
        <v>127</v>
      </c>
      <c r="O27" s="25"/>
    </row>
    <row r="28" spans="1:15" ht="90" x14ac:dyDescent="0.25">
      <c r="A28" s="25">
        <v>27</v>
      </c>
      <c r="B28" s="25" t="s">
        <v>651</v>
      </c>
      <c r="C28" s="25" t="s">
        <v>25</v>
      </c>
      <c r="D28" s="25" t="s">
        <v>19</v>
      </c>
      <c r="E28" s="25" t="s">
        <v>49</v>
      </c>
      <c r="F28" s="25" t="s">
        <v>68</v>
      </c>
      <c r="G28" s="26" t="s">
        <v>765</v>
      </c>
      <c r="H28" s="26" t="s">
        <v>766</v>
      </c>
      <c r="I28" s="26"/>
      <c r="J28" s="26"/>
      <c r="K28" s="26" t="s">
        <v>652</v>
      </c>
      <c r="L28" s="25" t="s">
        <v>100</v>
      </c>
      <c r="M28" s="25" t="s">
        <v>102</v>
      </c>
      <c r="N28" s="25" t="s">
        <v>128</v>
      </c>
      <c r="O28" s="25"/>
    </row>
    <row r="29" spans="1:15" ht="90" x14ac:dyDescent="0.25">
      <c r="A29" s="25">
        <v>28</v>
      </c>
      <c r="B29" s="25" t="s">
        <v>653</v>
      </c>
      <c r="C29" s="25" t="s">
        <v>25</v>
      </c>
      <c r="D29" s="25" t="s">
        <v>19</v>
      </c>
      <c r="E29" s="25" t="s">
        <v>49</v>
      </c>
      <c r="F29" s="25" t="s">
        <v>68</v>
      </c>
      <c r="G29" s="26" t="s">
        <v>767</v>
      </c>
      <c r="H29" s="26" t="s">
        <v>768</v>
      </c>
      <c r="I29" s="26"/>
      <c r="J29" s="26"/>
      <c r="K29" s="26" t="s">
        <v>654</v>
      </c>
      <c r="L29" s="25" t="s">
        <v>100</v>
      </c>
      <c r="M29" s="25" t="s">
        <v>102</v>
      </c>
      <c r="N29" s="25" t="s">
        <v>128</v>
      </c>
      <c r="O29" s="25"/>
    </row>
    <row r="30" spans="1:15" ht="90" x14ac:dyDescent="0.25">
      <c r="A30" s="25">
        <v>29</v>
      </c>
      <c r="B30" s="25" t="s">
        <v>655</v>
      </c>
      <c r="C30" s="25" t="s">
        <v>23</v>
      </c>
      <c r="D30" s="25" t="s">
        <v>19</v>
      </c>
      <c r="E30" s="25" t="s">
        <v>49</v>
      </c>
      <c r="F30" s="25" t="s">
        <v>68</v>
      </c>
      <c r="G30" s="26" t="s">
        <v>769</v>
      </c>
      <c r="H30" s="26" t="s">
        <v>770</v>
      </c>
      <c r="I30" s="26"/>
      <c r="J30" s="26"/>
      <c r="K30" s="26" t="s">
        <v>656</v>
      </c>
      <c r="L30" s="25" t="s">
        <v>100</v>
      </c>
      <c r="M30" s="25" t="s">
        <v>102</v>
      </c>
      <c r="N30" s="25" t="s">
        <v>129</v>
      </c>
      <c r="O30" s="25"/>
    </row>
    <row r="31" spans="1:15" ht="90" x14ac:dyDescent="0.25">
      <c r="A31" s="25">
        <v>30</v>
      </c>
      <c r="B31" s="25" t="s">
        <v>657</v>
      </c>
      <c r="C31" s="25" t="s">
        <v>23</v>
      </c>
      <c r="D31" s="25" t="s">
        <v>19</v>
      </c>
      <c r="E31" s="25" t="s">
        <v>49</v>
      </c>
      <c r="F31" s="25" t="s">
        <v>68</v>
      </c>
      <c r="G31" s="26" t="s">
        <v>771</v>
      </c>
      <c r="H31" s="26" t="s">
        <v>772</v>
      </c>
      <c r="I31" s="26"/>
      <c r="J31" s="26"/>
      <c r="K31" s="26" t="s">
        <v>658</v>
      </c>
      <c r="L31" s="25" t="s">
        <v>100</v>
      </c>
      <c r="M31" s="25" t="s">
        <v>102</v>
      </c>
      <c r="N31" s="25" t="s">
        <v>129</v>
      </c>
      <c r="O31" s="25"/>
    </row>
    <row r="32" spans="1:15" ht="90" x14ac:dyDescent="0.25">
      <c r="A32" s="25">
        <v>31</v>
      </c>
      <c r="B32" s="25" t="s">
        <v>659</v>
      </c>
      <c r="C32" s="25" t="s">
        <v>22</v>
      </c>
      <c r="D32" s="25" t="s">
        <v>19</v>
      </c>
      <c r="E32" s="25" t="s">
        <v>49</v>
      </c>
      <c r="F32" s="25" t="s">
        <v>68</v>
      </c>
      <c r="G32" s="26" t="s">
        <v>773</v>
      </c>
      <c r="H32" s="26" t="s">
        <v>774</v>
      </c>
      <c r="I32" s="26"/>
      <c r="J32" s="26"/>
      <c r="K32" s="26" t="s">
        <v>660</v>
      </c>
      <c r="L32" s="25" t="s">
        <v>100</v>
      </c>
      <c r="M32" s="25" t="s">
        <v>102</v>
      </c>
      <c r="N32" s="25" t="s">
        <v>130</v>
      </c>
      <c r="O32" s="25"/>
    </row>
    <row r="33" spans="1:15" ht="90" x14ac:dyDescent="0.25">
      <c r="A33" s="25">
        <v>32</v>
      </c>
      <c r="B33" s="25" t="s">
        <v>661</v>
      </c>
      <c r="C33" s="25" t="s">
        <v>22</v>
      </c>
      <c r="D33" s="25" t="s">
        <v>19</v>
      </c>
      <c r="E33" s="25" t="s">
        <v>49</v>
      </c>
      <c r="F33" s="25" t="s">
        <v>68</v>
      </c>
      <c r="G33" s="26" t="s">
        <v>775</v>
      </c>
      <c r="H33" s="26" t="s">
        <v>776</v>
      </c>
      <c r="I33" s="26"/>
      <c r="J33" s="26"/>
      <c r="K33" s="26" t="s">
        <v>662</v>
      </c>
      <c r="L33" s="25" t="s">
        <v>100</v>
      </c>
      <c r="M33" s="25" t="s">
        <v>102</v>
      </c>
      <c r="N33" s="25" t="s">
        <v>130</v>
      </c>
      <c r="O33" s="25"/>
    </row>
    <row r="34" spans="1:15" ht="105" x14ac:dyDescent="0.25">
      <c r="A34" s="25">
        <v>33</v>
      </c>
      <c r="B34" s="25" t="s">
        <v>663</v>
      </c>
      <c r="C34" s="25" t="s">
        <v>21</v>
      </c>
      <c r="D34" s="25" t="s">
        <v>19</v>
      </c>
      <c r="E34" s="25" t="s">
        <v>49</v>
      </c>
      <c r="F34" s="25" t="s">
        <v>68</v>
      </c>
      <c r="G34" s="26" t="s">
        <v>777</v>
      </c>
      <c r="H34" s="26" t="s">
        <v>778</v>
      </c>
      <c r="I34" s="26"/>
      <c r="J34" s="26"/>
      <c r="K34" s="26" t="s">
        <v>664</v>
      </c>
      <c r="L34" s="25" t="s">
        <v>100</v>
      </c>
      <c r="M34" s="25" t="s">
        <v>102</v>
      </c>
      <c r="N34" s="25" t="s">
        <v>131</v>
      </c>
      <c r="O34" s="25"/>
    </row>
    <row r="35" spans="1:15" ht="105" x14ac:dyDescent="0.25">
      <c r="A35" s="25">
        <v>34</v>
      </c>
      <c r="B35" s="25" t="s">
        <v>665</v>
      </c>
      <c r="C35" s="25" t="s">
        <v>21</v>
      </c>
      <c r="D35" s="25" t="s">
        <v>19</v>
      </c>
      <c r="E35" s="25" t="s">
        <v>49</v>
      </c>
      <c r="F35" s="25" t="s">
        <v>68</v>
      </c>
      <c r="G35" s="26" t="s">
        <v>779</v>
      </c>
      <c r="H35" s="26" t="s">
        <v>780</v>
      </c>
      <c r="I35" s="26"/>
      <c r="J35" s="26"/>
      <c r="K35" s="26" t="s">
        <v>666</v>
      </c>
      <c r="L35" s="25" t="s">
        <v>100</v>
      </c>
      <c r="M35" s="25" t="s">
        <v>102</v>
      </c>
      <c r="N35" s="25" t="s">
        <v>131</v>
      </c>
      <c r="O35" s="25"/>
    </row>
    <row r="36" spans="1:15" ht="105" x14ac:dyDescent="0.25">
      <c r="A36" s="25">
        <v>35</v>
      </c>
      <c r="B36" s="25" t="s">
        <v>667</v>
      </c>
      <c r="C36" s="25" t="s">
        <v>20</v>
      </c>
      <c r="D36" s="25" t="s">
        <v>19</v>
      </c>
      <c r="E36" s="25" t="s">
        <v>49</v>
      </c>
      <c r="F36" s="25" t="s">
        <v>68</v>
      </c>
      <c r="G36" s="26" t="s">
        <v>781</v>
      </c>
      <c r="H36" s="26" t="s">
        <v>782</v>
      </c>
      <c r="I36" s="26"/>
      <c r="J36" s="26"/>
      <c r="K36" s="26" t="s">
        <v>668</v>
      </c>
      <c r="L36" s="25" t="s">
        <v>100</v>
      </c>
      <c r="M36" s="25" t="s">
        <v>102</v>
      </c>
      <c r="N36" s="25" t="s">
        <v>132</v>
      </c>
      <c r="O36" s="25"/>
    </row>
    <row r="37" spans="1:15" ht="105" x14ac:dyDescent="0.25">
      <c r="A37" s="25">
        <v>36</v>
      </c>
      <c r="B37" s="25" t="s">
        <v>669</v>
      </c>
      <c r="C37" s="25" t="s">
        <v>20</v>
      </c>
      <c r="D37" s="25" t="s">
        <v>19</v>
      </c>
      <c r="E37" s="25" t="s">
        <v>49</v>
      </c>
      <c r="F37" s="25" t="s">
        <v>68</v>
      </c>
      <c r="G37" s="26" t="s">
        <v>783</v>
      </c>
      <c r="H37" s="26" t="s">
        <v>784</v>
      </c>
      <c r="I37" s="26"/>
      <c r="J37" s="26"/>
      <c r="K37" s="26" t="s">
        <v>670</v>
      </c>
      <c r="L37" s="25" t="s">
        <v>100</v>
      </c>
      <c r="M37" s="25" t="s">
        <v>102</v>
      </c>
      <c r="N37" s="25" t="s">
        <v>132</v>
      </c>
      <c r="O37" s="25"/>
    </row>
    <row r="38" spans="1:15" ht="90" x14ac:dyDescent="0.25">
      <c r="A38" s="25">
        <v>37</v>
      </c>
      <c r="B38" s="25" t="s">
        <v>671</v>
      </c>
      <c r="C38" s="25" t="s">
        <v>33</v>
      </c>
      <c r="D38" s="25" t="s">
        <v>19</v>
      </c>
      <c r="E38" s="25" t="s">
        <v>49</v>
      </c>
      <c r="F38" s="25" t="s">
        <v>68</v>
      </c>
      <c r="G38" s="26" t="s">
        <v>785</v>
      </c>
      <c r="H38" s="26" t="s">
        <v>786</v>
      </c>
      <c r="I38" s="26"/>
      <c r="J38" s="26"/>
      <c r="K38" s="26" t="s">
        <v>672</v>
      </c>
      <c r="L38" s="25" t="s">
        <v>100</v>
      </c>
      <c r="M38" s="25" t="s">
        <v>102</v>
      </c>
      <c r="N38" s="25" t="s">
        <v>133</v>
      </c>
      <c r="O38" s="25"/>
    </row>
    <row r="39" spans="1:15" ht="90" x14ac:dyDescent="0.25">
      <c r="A39" s="25">
        <v>38</v>
      </c>
      <c r="B39" s="25" t="s">
        <v>673</v>
      </c>
      <c r="C39" s="25" t="s">
        <v>33</v>
      </c>
      <c r="D39" s="25" t="s">
        <v>19</v>
      </c>
      <c r="E39" s="25" t="s">
        <v>49</v>
      </c>
      <c r="F39" s="25" t="s">
        <v>68</v>
      </c>
      <c r="G39" s="26" t="s">
        <v>787</v>
      </c>
      <c r="H39" s="26" t="s">
        <v>788</v>
      </c>
      <c r="I39" s="26"/>
      <c r="J39" s="26"/>
      <c r="K39" s="26" t="s">
        <v>674</v>
      </c>
      <c r="L39" s="25" t="s">
        <v>100</v>
      </c>
      <c r="M39" s="25" t="s">
        <v>102</v>
      </c>
      <c r="N39" s="25" t="s">
        <v>133</v>
      </c>
      <c r="O39" s="25"/>
    </row>
    <row r="40" spans="1:15" ht="105" x14ac:dyDescent="0.25">
      <c r="A40" s="25">
        <v>39</v>
      </c>
      <c r="B40" s="25" t="s">
        <v>675</v>
      </c>
      <c r="C40" s="25" t="s">
        <v>32</v>
      </c>
      <c r="D40" s="25" t="s">
        <v>19</v>
      </c>
      <c r="E40" s="25" t="s">
        <v>49</v>
      </c>
      <c r="F40" s="25" t="s">
        <v>68</v>
      </c>
      <c r="G40" s="26" t="s">
        <v>789</v>
      </c>
      <c r="H40" s="26" t="s">
        <v>790</v>
      </c>
      <c r="I40" s="26"/>
      <c r="J40" s="26"/>
      <c r="K40" s="26" t="s">
        <v>676</v>
      </c>
      <c r="L40" s="25" t="s">
        <v>100</v>
      </c>
      <c r="M40" s="25" t="s">
        <v>102</v>
      </c>
      <c r="N40" s="25" t="s">
        <v>134</v>
      </c>
      <c r="O40" s="25"/>
    </row>
    <row r="41" spans="1:15" ht="90" x14ac:dyDescent="0.25">
      <c r="A41" s="25">
        <v>40</v>
      </c>
      <c r="B41" s="25" t="s">
        <v>677</v>
      </c>
      <c r="C41" s="25" t="s">
        <v>32</v>
      </c>
      <c r="D41" s="25" t="s">
        <v>19</v>
      </c>
      <c r="E41" s="25" t="s">
        <v>49</v>
      </c>
      <c r="F41" s="25" t="s">
        <v>68</v>
      </c>
      <c r="G41" s="26" t="s">
        <v>791</v>
      </c>
      <c r="H41" s="26" t="s">
        <v>792</v>
      </c>
      <c r="I41" s="26"/>
      <c r="J41" s="26"/>
      <c r="K41" s="26" t="s">
        <v>678</v>
      </c>
      <c r="L41" s="25" t="s">
        <v>100</v>
      </c>
      <c r="M41" s="25" t="s">
        <v>102</v>
      </c>
      <c r="N41" s="25" t="s">
        <v>134</v>
      </c>
      <c r="O41" s="25"/>
    </row>
    <row r="42" spans="1:15" ht="90" x14ac:dyDescent="0.25">
      <c r="A42" s="25">
        <v>41</v>
      </c>
      <c r="B42" s="25" t="s">
        <v>679</v>
      </c>
      <c r="C42" s="25" t="s">
        <v>31</v>
      </c>
      <c r="D42" s="25" t="s">
        <v>19</v>
      </c>
      <c r="E42" s="25" t="s">
        <v>49</v>
      </c>
      <c r="F42" s="25" t="s">
        <v>68</v>
      </c>
      <c r="G42" s="26" t="s">
        <v>793</v>
      </c>
      <c r="H42" s="26" t="s">
        <v>794</v>
      </c>
      <c r="I42" s="26"/>
      <c r="J42" s="26"/>
      <c r="K42" s="26" t="s">
        <v>680</v>
      </c>
      <c r="L42" s="25" t="s">
        <v>100</v>
      </c>
      <c r="M42" s="25" t="s">
        <v>102</v>
      </c>
      <c r="N42" s="25" t="s">
        <v>135</v>
      </c>
      <c r="O42" s="25"/>
    </row>
    <row r="43" spans="1:15" ht="90" x14ac:dyDescent="0.25">
      <c r="A43" s="25">
        <v>42</v>
      </c>
      <c r="B43" s="25" t="s">
        <v>681</v>
      </c>
      <c r="C43" s="25" t="s">
        <v>31</v>
      </c>
      <c r="D43" s="25" t="s">
        <v>19</v>
      </c>
      <c r="E43" s="25" t="s">
        <v>49</v>
      </c>
      <c r="F43" s="25" t="s">
        <v>68</v>
      </c>
      <c r="G43" s="26" t="s">
        <v>795</v>
      </c>
      <c r="H43" s="26" t="s">
        <v>796</v>
      </c>
      <c r="I43" s="26"/>
      <c r="J43" s="26"/>
      <c r="K43" s="26" t="s">
        <v>682</v>
      </c>
      <c r="L43" s="25" t="s">
        <v>100</v>
      </c>
      <c r="M43" s="25" t="s">
        <v>102</v>
      </c>
      <c r="N43" s="25" t="s">
        <v>135</v>
      </c>
      <c r="O43" s="25"/>
    </row>
    <row r="44" spans="1:15" ht="90" x14ac:dyDescent="0.25">
      <c r="A44" s="25">
        <v>43</v>
      </c>
      <c r="B44" s="25" t="s">
        <v>683</v>
      </c>
      <c r="C44" s="25" t="s">
        <v>30</v>
      </c>
      <c r="D44" s="25" t="s">
        <v>19</v>
      </c>
      <c r="E44" s="25" t="s">
        <v>49</v>
      </c>
      <c r="F44" s="25" t="s">
        <v>68</v>
      </c>
      <c r="G44" s="26" t="s">
        <v>797</v>
      </c>
      <c r="H44" s="26" t="s">
        <v>798</v>
      </c>
      <c r="I44" s="26"/>
      <c r="J44" s="26"/>
      <c r="K44" s="26" t="s">
        <v>684</v>
      </c>
      <c r="L44" s="25" t="s">
        <v>100</v>
      </c>
      <c r="M44" s="25" t="s">
        <v>102</v>
      </c>
      <c r="N44" s="25" t="s">
        <v>136</v>
      </c>
      <c r="O44" s="25"/>
    </row>
    <row r="45" spans="1:15" ht="90" x14ac:dyDescent="0.25">
      <c r="A45" s="25">
        <v>44</v>
      </c>
      <c r="B45" s="25" t="s">
        <v>685</v>
      </c>
      <c r="C45" s="25" t="s">
        <v>30</v>
      </c>
      <c r="D45" s="25" t="s">
        <v>19</v>
      </c>
      <c r="E45" s="25" t="s">
        <v>49</v>
      </c>
      <c r="F45" s="25" t="s">
        <v>68</v>
      </c>
      <c r="G45" s="26" t="s">
        <v>799</v>
      </c>
      <c r="H45" s="26" t="s">
        <v>800</v>
      </c>
      <c r="I45" s="26"/>
      <c r="J45" s="26"/>
      <c r="K45" s="26" t="s">
        <v>686</v>
      </c>
      <c r="L45" s="25" t="s">
        <v>100</v>
      </c>
      <c r="M45" s="25" t="s">
        <v>102</v>
      </c>
      <c r="N45" s="25" t="s">
        <v>136</v>
      </c>
      <c r="O45" s="25"/>
    </row>
    <row r="46" spans="1:15" ht="90" x14ac:dyDescent="0.25">
      <c r="A46" s="25">
        <v>45</v>
      </c>
      <c r="B46" s="25" t="s">
        <v>687</v>
      </c>
      <c r="C46" s="25" t="s">
        <v>51</v>
      </c>
      <c r="D46" s="25" t="s">
        <v>19</v>
      </c>
      <c r="E46" s="25" t="s">
        <v>49</v>
      </c>
      <c r="F46" s="25" t="s">
        <v>68</v>
      </c>
      <c r="G46" s="26" t="s">
        <v>801</v>
      </c>
      <c r="H46" s="26" t="s">
        <v>802</v>
      </c>
      <c r="I46" s="26"/>
      <c r="J46" s="26"/>
      <c r="K46" s="26" t="s">
        <v>680</v>
      </c>
      <c r="L46" s="25" t="s">
        <v>100</v>
      </c>
      <c r="M46" s="25" t="s">
        <v>102</v>
      </c>
      <c r="N46" s="25" t="s">
        <v>137</v>
      </c>
      <c r="O46" s="25"/>
    </row>
    <row r="47" spans="1:15" ht="90" x14ac:dyDescent="0.25">
      <c r="A47" s="25">
        <v>46</v>
      </c>
      <c r="B47" s="25" t="s">
        <v>688</v>
      </c>
      <c r="C47" s="25" t="s">
        <v>51</v>
      </c>
      <c r="D47" s="25" t="s">
        <v>19</v>
      </c>
      <c r="E47" s="25" t="s">
        <v>49</v>
      </c>
      <c r="F47" s="25" t="s">
        <v>68</v>
      </c>
      <c r="G47" s="26" t="s">
        <v>803</v>
      </c>
      <c r="H47" s="26" t="s">
        <v>804</v>
      </c>
      <c r="I47" s="26"/>
      <c r="J47" s="26"/>
      <c r="K47" s="26" t="s">
        <v>689</v>
      </c>
      <c r="L47" s="25" t="s">
        <v>100</v>
      </c>
      <c r="M47" s="25" t="s">
        <v>102</v>
      </c>
      <c r="N47" s="25" t="s">
        <v>137</v>
      </c>
      <c r="O47" s="25"/>
    </row>
    <row r="48" spans="1:15" ht="90" x14ac:dyDescent="0.25">
      <c r="A48" s="25">
        <v>47</v>
      </c>
      <c r="B48" s="25" t="s">
        <v>690</v>
      </c>
      <c r="C48" s="25" t="s">
        <v>24</v>
      </c>
      <c r="D48" s="25" t="s">
        <v>19</v>
      </c>
      <c r="E48" s="25" t="s">
        <v>49</v>
      </c>
      <c r="F48" s="25" t="s">
        <v>68</v>
      </c>
      <c r="G48" s="26" t="s">
        <v>805</v>
      </c>
      <c r="H48" s="26" t="s">
        <v>806</v>
      </c>
      <c r="I48" s="26"/>
      <c r="J48" s="26"/>
      <c r="K48" s="26" t="s">
        <v>684</v>
      </c>
      <c r="L48" s="25" t="s">
        <v>100</v>
      </c>
      <c r="M48" s="25" t="s">
        <v>102</v>
      </c>
      <c r="N48" s="25" t="s">
        <v>138</v>
      </c>
      <c r="O48" s="25"/>
    </row>
    <row r="49" spans="1:15" ht="90" x14ac:dyDescent="0.25">
      <c r="A49" s="25">
        <v>48</v>
      </c>
      <c r="B49" s="25" t="s">
        <v>691</v>
      </c>
      <c r="C49" s="25" t="s">
        <v>24</v>
      </c>
      <c r="D49" s="25" t="s">
        <v>19</v>
      </c>
      <c r="E49" s="25" t="s">
        <v>49</v>
      </c>
      <c r="F49" s="25" t="s">
        <v>68</v>
      </c>
      <c r="G49" s="26" t="s">
        <v>807</v>
      </c>
      <c r="H49" s="26" t="s">
        <v>808</v>
      </c>
      <c r="I49" s="26"/>
      <c r="J49" s="26"/>
      <c r="K49" s="26" t="s">
        <v>692</v>
      </c>
      <c r="L49" s="25" t="s">
        <v>100</v>
      </c>
      <c r="M49" s="25" t="s">
        <v>102</v>
      </c>
      <c r="N49" s="25" t="s">
        <v>138</v>
      </c>
      <c r="O49" s="25"/>
    </row>
    <row r="50" spans="1:15" ht="90" x14ac:dyDescent="0.25">
      <c r="A50" s="25">
        <v>49</v>
      </c>
      <c r="B50" s="25" t="s">
        <v>693</v>
      </c>
      <c r="C50" s="25" t="s">
        <v>28</v>
      </c>
      <c r="D50" s="25" t="s">
        <v>19</v>
      </c>
      <c r="E50" s="25" t="s">
        <v>49</v>
      </c>
      <c r="F50" s="25" t="s">
        <v>68</v>
      </c>
      <c r="G50" s="26" t="s">
        <v>809</v>
      </c>
      <c r="H50" s="26" t="s">
        <v>810</v>
      </c>
      <c r="I50" s="26"/>
      <c r="J50" s="26"/>
      <c r="K50" s="26" t="s">
        <v>694</v>
      </c>
      <c r="L50" s="25" t="s">
        <v>100</v>
      </c>
      <c r="M50" s="25" t="s">
        <v>102</v>
      </c>
      <c r="N50" s="25" t="s">
        <v>139</v>
      </c>
      <c r="O50" s="25"/>
    </row>
    <row r="51" spans="1:15" ht="90" x14ac:dyDescent="0.25">
      <c r="A51" s="25">
        <v>50</v>
      </c>
      <c r="B51" s="25" t="s">
        <v>695</v>
      </c>
      <c r="C51" s="25" t="s">
        <v>28</v>
      </c>
      <c r="D51" s="25" t="s">
        <v>19</v>
      </c>
      <c r="E51" s="25" t="s">
        <v>49</v>
      </c>
      <c r="F51" s="25" t="s">
        <v>68</v>
      </c>
      <c r="G51" s="26" t="s">
        <v>811</v>
      </c>
      <c r="H51" s="26" t="s">
        <v>812</v>
      </c>
      <c r="I51" s="26"/>
      <c r="J51" s="26"/>
      <c r="K51" s="26" t="s">
        <v>696</v>
      </c>
      <c r="L51" s="25" t="s">
        <v>100</v>
      </c>
      <c r="M51" s="25" t="s">
        <v>102</v>
      </c>
      <c r="N51" s="25" t="s">
        <v>139</v>
      </c>
      <c r="O51" s="25"/>
    </row>
    <row r="52" spans="1:15" ht="90" x14ac:dyDescent="0.25">
      <c r="A52" s="25">
        <v>51</v>
      </c>
      <c r="B52" s="25" t="s">
        <v>697</v>
      </c>
      <c r="C52" s="25" t="s">
        <v>27</v>
      </c>
      <c r="D52" s="25" t="s">
        <v>19</v>
      </c>
      <c r="E52" s="25" t="s">
        <v>49</v>
      </c>
      <c r="F52" s="25" t="s">
        <v>68</v>
      </c>
      <c r="G52" s="26" t="s">
        <v>813</v>
      </c>
      <c r="H52" s="26" t="s">
        <v>814</v>
      </c>
      <c r="I52" s="26"/>
      <c r="J52" s="26"/>
      <c r="K52" s="26" t="s">
        <v>680</v>
      </c>
      <c r="L52" s="25" t="s">
        <v>100</v>
      </c>
      <c r="M52" s="25" t="s">
        <v>102</v>
      </c>
      <c r="N52" s="25" t="s">
        <v>140</v>
      </c>
      <c r="O52" s="25"/>
    </row>
    <row r="53" spans="1:15" ht="90" x14ac:dyDescent="0.25">
      <c r="A53" s="25">
        <v>52</v>
      </c>
      <c r="B53" s="25" t="s">
        <v>698</v>
      </c>
      <c r="C53" s="25" t="s">
        <v>27</v>
      </c>
      <c r="D53" s="25" t="s">
        <v>19</v>
      </c>
      <c r="E53" s="25" t="s">
        <v>49</v>
      </c>
      <c r="F53" s="25" t="s">
        <v>68</v>
      </c>
      <c r="G53" s="26" t="s">
        <v>815</v>
      </c>
      <c r="H53" s="26" t="s">
        <v>816</v>
      </c>
      <c r="I53" s="26"/>
      <c r="J53" s="26"/>
      <c r="K53" s="26" t="s">
        <v>699</v>
      </c>
      <c r="L53" s="25" t="s">
        <v>100</v>
      </c>
      <c r="M53" s="25" t="s">
        <v>102</v>
      </c>
      <c r="N53" s="25" t="s">
        <v>140</v>
      </c>
      <c r="O53" s="25"/>
    </row>
    <row r="54" spans="1:15" ht="90" x14ac:dyDescent="0.25">
      <c r="A54" s="25">
        <v>53</v>
      </c>
      <c r="B54" s="25" t="s">
        <v>700</v>
      </c>
      <c r="C54" s="25" t="s">
        <v>29</v>
      </c>
      <c r="D54" s="25" t="s">
        <v>19</v>
      </c>
      <c r="E54" s="25" t="s">
        <v>49</v>
      </c>
      <c r="F54" s="25" t="s">
        <v>68</v>
      </c>
      <c r="G54" s="26" t="s">
        <v>817</v>
      </c>
      <c r="H54" s="26" t="s">
        <v>818</v>
      </c>
      <c r="I54" s="26"/>
      <c r="J54" s="26"/>
      <c r="K54" s="26" t="s">
        <v>701</v>
      </c>
      <c r="L54" s="25" t="s">
        <v>100</v>
      </c>
      <c r="M54" s="25" t="s">
        <v>102</v>
      </c>
      <c r="N54" s="25" t="s">
        <v>141</v>
      </c>
      <c r="O54" s="25"/>
    </row>
    <row r="55" spans="1:15" ht="90" x14ac:dyDescent="0.25">
      <c r="A55" s="25">
        <v>54</v>
      </c>
      <c r="B55" s="25" t="s">
        <v>702</v>
      </c>
      <c r="C55" s="25" t="s">
        <v>29</v>
      </c>
      <c r="D55" s="25" t="s">
        <v>19</v>
      </c>
      <c r="E55" s="25" t="s">
        <v>49</v>
      </c>
      <c r="F55" s="25" t="s">
        <v>68</v>
      </c>
      <c r="G55" s="26" t="s">
        <v>819</v>
      </c>
      <c r="H55" s="26" t="s">
        <v>820</v>
      </c>
      <c r="I55" s="26"/>
      <c r="J55" s="26"/>
      <c r="K55" s="26" t="s">
        <v>703</v>
      </c>
      <c r="L55" s="25" t="s">
        <v>100</v>
      </c>
      <c r="M55" s="25" t="s">
        <v>102</v>
      </c>
      <c r="N55" s="25" t="s">
        <v>141</v>
      </c>
      <c r="O55" s="25"/>
    </row>
    <row r="56" spans="1:15" ht="90" x14ac:dyDescent="0.25">
      <c r="A56" s="25">
        <v>55</v>
      </c>
      <c r="B56" s="25" t="s">
        <v>704</v>
      </c>
      <c r="C56" s="25" t="s">
        <v>26</v>
      </c>
      <c r="D56" s="25" t="s">
        <v>19</v>
      </c>
      <c r="E56" s="25" t="s">
        <v>49</v>
      </c>
      <c r="F56" s="25" t="s">
        <v>68</v>
      </c>
      <c r="G56" s="26" t="s">
        <v>821</v>
      </c>
      <c r="H56" s="26" t="s">
        <v>822</v>
      </c>
      <c r="I56" s="26"/>
      <c r="J56" s="26"/>
      <c r="K56" s="26" t="s">
        <v>705</v>
      </c>
      <c r="L56" s="25" t="s">
        <v>100</v>
      </c>
      <c r="M56" s="25" t="s">
        <v>102</v>
      </c>
      <c r="N56" s="25" t="s">
        <v>142</v>
      </c>
      <c r="O56" s="25"/>
    </row>
    <row r="57" spans="1:15" ht="90" x14ac:dyDescent="0.25">
      <c r="A57" s="25">
        <v>56</v>
      </c>
      <c r="B57" s="25" t="s">
        <v>706</v>
      </c>
      <c r="C57" s="25" t="s">
        <v>26</v>
      </c>
      <c r="D57" s="25" t="s">
        <v>19</v>
      </c>
      <c r="E57" s="25" t="s">
        <v>49</v>
      </c>
      <c r="F57" s="25" t="s">
        <v>68</v>
      </c>
      <c r="G57" s="26" t="s">
        <v>823</v>
      </c>
      <c r="H57" s="26" t="s">
        <v>824</v>
      </c>
      <c r="I57" s="26"/>
      <c r="J57" s="26"/>
      <c r="K57" s="26" t="s">
        <v>707</v>
      </c>
      <c r="L57" s="25" t="s">
        <v>100</v>
      </c>
      <c r="M57" s="25" t="s">
        <v>102</v>
      </c>
      <c r="N57" s="25" t="s">
        <v>142</v>
      </c>
      <c r="O57" s="25"/>
    </row>
    <row r="58" spans="1:15" ht="90" x14ac:dyDescent="0.25">
      <c r="A58" s="25">
        <v>57</v>
      </c>
      <c r="B58" s="25" t="s">
        <v>708</v>
      </c>
      <c r="C58" s="25" t="s">
        <v>40</v>
      </c>
      <c r="D58" s="25" t="s">
        <v>19</v>
      </c>
      <c r="E58" s="25" t="s">
        <v>49</v>
      </c>
      <c r="F58" s="25" t="s">
        <v>68</v>
      </c>
      <c r="G58" s="26" t="s">
        <v>825</v>
      </c>
      <c r="H58" s="26" t="s">
        <v>826</v>
      </c>
      <c r="I58" s="26"/>
      <c r="J58" s="26"/>
      <c r="K58" s="26" t="s">
        <v>555</v>
      </c>
      <c r="L58" s="25" t="s">
        <v>100</v>
      </c>
      <c r="M58" s="25" t="s">
        <v>102</v>
      </c>
      <c r="N58" s="25" t="s">
        <v>143</v>
      </c>
      <c r="O58" s="25"/>
    </row>
    <row r="59" spans="1:15" ht="90" x14ac:dyDescent="0.25">
      <c r="A59" s="25">
        <v>58</v>
      </c>
      <c r="B59" s="25" t="s">
        <v>709</v>
      </c>
      <c r="C59" s="25" t="s">
        <v>40</v>
      </c>
      <c r="D59" s="25" t="s">
        <v>19</v>
      </c>
      <c r="E59" s="25" t="s">
        <v>49</v>
      </c>
      <c r="F59" s="25" t="s">
        <v>68</v>
      </c>
      <c r="G59" s="26" t="s">
        <v>827</v>
      </c>
      <c r="H59" s="26" t="s">
        <v>828</v>
      </c>
      <c r="I59" s="26"/>
      <c r="J59" s="26"/>
      <c r="K59" s="26" t="s">
        <v>710</v>
      </c>
      <c r="L59" s="25" t="s">
        <v>100</v>
      </c>
      <c r="M59" s="25" t="s">
        <v>102</v>
      </c>
      <c r="N59" s="25" t="s">
        <v>143</v>
      </c>
      <c r="O59" s="25"/>
    </row>
    <row r="60" spans="1:15" ht="90" x14ac:dyDescent="0.25">
      <c r="A60" s="25">
        <v>59</v>
      </c>
      <c r="B60" s="25" t="s">
        <v>711</v>
      </c>
      <c r="C60" s="25" t="s">
        <v>39</v>
      </c>
      <c r="D60" s="25" t="s">
        <v>19</v>
      </c>
      <c r="E60" s="25" t="s">
        <v>49</v>
      </c>
      <c r="F60" s="25" t="s">
        <v>68</v>
      </c>
      <c r="G60" s="26" t="s">
        <v>829</v>
      </c>
      <c r="H60" s="26" t="s">
        <v>830</v>
      </c>
      <c r="I60" s="26"/>
      <c r="J60" s="26"/>
      <c r="K60" s="26" t="s">
        <v>712</v>
      </c>
      <c r="L60" s="25" t="s">
        <v>100</v>
      </c>
      <c r="M60" s="25" t="s">
        <v>102</v>
      </c>
      <c r="N60" s="25" t="s">
        <v>144</v>
      </c>
      <c r="O60" s="25"/>
    </row>
    <row r="61" spans="1:15" ht="90" x14ac:dyDescent="0.25">
      <c r="A61" s="25">
        <v>60</v>
      </c>
      <c r="B61" s="25" t="s">
        <v>713</v>
      </c>
      <c r="C61" s="25" t="s">
        <v>39</v>
      </c>
      <c r="D61" s="25" t="s">
        <v>19</v>
      </c>
      <c r="E61" s="25" t="s">
        <v>49</v>
      </c>
      <c r="F61" s="25" t="s">
        <v>68</v>
      </c>
      <c r="G61" s="26" t="s">
        <v>831</v>
      </c>
      <c r="H61" s="26" t="s">
        <v>832</v>
      </c>
      <c r="I61" s="26"/>
      <c r="J61" s="26"/>
      <c r="K61" s="26" t="s">
        <v>714</v>
      </c>
      <c r="L61" s="25" t="s">
        <v>100</v>
      </c>
      <c r="M61" s="25" t="s">
        <v>102</v>
      </c>
      <c r="N61" s="25" t="s">
        <v>144</v>
      </c>
      <c r="O61" s="25"/>
    </row>
    <row r="62" spans="1:15" ht="90" x14ac:dyDescent="0.25">
      <c r="A62" s="25">
        <v>61</v>
      </c>
      <c r="B62" s="25" t="s">
        <v>715</v>
      </c>
      <c r="C62" s="25" t="s">
        <v>37</v>
      </c>
      <c r="D62" s="25" t="s">
        <v>19</v>
      </c>
      <c r="E62" s="25" t="s">
        <v>49</v>
      </c>
      <c r="F62" s="25" t="s">
        <v>68</v>
      </c>
      <c r="G62" s="26" t="s">
        <v>833</v>
      </c>
      <c r="H62" s="26" t="s">
        <v>834</v>
      </c>
      <c r="I62" s="26"/>
      <c r="J62" s="26"/>
      <c r="K62" s="26" t="s">
        <v>716</v>
      </c>
      <c r="L62" s="25" t="s">
        <v>100</v>
      </c>
      <c r="M62" s="25" t="s">
        <v>102</v>
      </c>
      <c r="N62" s="25" t="s">
        <v>145</v>
      </c>
      <c r="O62" s="25"/>
    </row>
    <row r="63" spans="1:15" ht="90" x14ac:dyDescent="0.25">
      <c r="A63" s="25">
        <v>62</v>
      </c>
      <c r="B63" s="25" t="s">
        <v>717</v>
      </c>
      <c r="C63" s="25" t="s">
        <v>37</v>
      </c>
      <c r="D63" s="25" t="s">
        <v>19</v>
      </c>
      <c r="E63" s="25" t="s">
        <v>49</v>
      </c>
      <c r="F63" s="25" t="s">
        <v>68</v>
      </c>
      <c r="G63" s="26" t="s">
        <v>835</v>
      </c>
      <c r="H63" s="26" t="s">
        <v>836</v>
      </c>
      <c r="I63" s="26"/>
      <c r="J63" s="26"/>
      <c r="K63" s="26" t="s">
        <v>718</v>
      </c>
      <c r="L63" s="25" t="s">
        <v>100</v>
      </c>
      <c r="M63" s="25" t="s">
        <v>102</v>
      </c>
      <c r="N63" s="25" t="s">
        <v>145</v>
      </c>
      <c r="O63" s="25"/>
    </row>
    <row r="64" spans="1:15" ht="90" x14ac:dyDescent="0.25">
      <c r="A64" s="25">
        <v>63</v>
      </c>
      <c r="B64" s="25" t="s">
        <v>719</v>
      </c>
      <c r="C64" s="25" t="s">
        <v>38</v>
      </c>
      <c r="D64" s="25" t="s">
        <v>19</v>
      </c>
      <c r="E64" s="25" t="s">
        <v>49</v>
      </c>
      <c r="F64" s="25" t="s">
        <v>68</v>
      </c>
      <c r="G64" s="26" t="s">
        <v>837</v>
      </c>
      <c r="H64" s="26" t="s">
        <v>838</v>
      </c>
      <c r="I64" s="26"/>
      <c r="J64" s="26"/>
      <c r="K64" s="26" t="s">
        <v>720</v>
      </c>
      <c r="L64" s="25" t="s">
        <v>100</v>
      </c>
      <c r="M64" s="25" t="s">
        <v>102</v>
      </c>
      <c r="N64" s="25" t="s">
        <v>146</v>
      </c>
      <c r="O64" s="25"/>
    </row>
    <row r="65" spans="1:15" ht="90" x14ac:dyDescent="0.25">
      <c r="A65" s="25">
        <v>64</v>
      </c>
      <c r="B65" s="25" t="s">
        <v>721</v>
      </c>
      <c r="C65" s="25" t="s">
        <v>38</v>
      </c>
      <c r="D65" s="25" t="s">
        <v>19</v>
      </c>
      <c r="E65" s="25" t="s">
        <v>49</v>
      </c>
      <c r="F65" s="25" t="s">
        <v>68</v>
      </c>
      <c r="G65" s="26" t="s">
        <v>839</v>
      </c>
      <c r="H65" s="26" t="s">
        <v>840</v>
      </c>
      <c r="I65" s="26"/>
      <c r="J65" s="26"/>
      <c r="K65" s="26" t="s">
        <v>722</v>
      </c>
      <c r="L65" s="25" t="s">
        <v>100</v>
      </c>
      <c r="M65" s="25" t="s">
        <v>102</v>
      </c>
      <c r="N65" s="25" t="s">
        <v>146</v>
      </c>
      <c r="O65" s="25"/>
    </row>
    <row r="66" spans="1:15" ht="90" x14ac:dyDescent="0.25">
      <c r="A66" s="25">
        <v>65</v>
      </c>
      <c r="B66" s="25" t="s">
        <v>723</v>
      </c>
      <c r="C66" s="25" t="s">
        <v>36</v>
      </c>
      <c r="D66" s="25" t="s">
        <v>19</v>
      </c>
      <c r="E66" s="25" t="s">
        <v>49</v>
      </c>
      <c r="F66" s="25" t="s">
        <v>68</v>
      </c>
      <c r="G66" s="26" t="s">
        <v>841</v>
      </c>
      <c r="H66" s="26" t="s">
        <v>842</v>
      </c>
      <c r="I66" s="26"/>
      <c r="J66" s="26"/>
      <c r="K66" s="26" t="s">
        <v>724</v>
      </c>
      <c r="L66" s="25" t="s">
        <v>100</v>
      </c>
      <c r="M66" s="25" t="s">
        <v>102</v>
      </c>
      <c r="N66" s="25" t="s">
        <v>147</v>
      </c>
      <c r="O66" s="25"/>
    </row>
    <row r="67" spans="1:15" ht="90" x14ac:dyDescent="0.25">
      <c r="A67" s="25">
        <v>66</v>
      </c>
      <c r="B67" s="25" t="s">
        <v>725</v>
      </c>
      <c r="C67" s="25" t="s">
        <v>36</v>
      </c>
      <c r="D67" s="25" t="s">
        <v>19</v>
      </c>
      <c r="E67" s="25" t="s">
        <v>49</v>
      </c>
      <c r="F67" s="25" t="s">
        <v>68</v>
      </c>
      <c r="G67" s="26" t="s">
        <v>843</v>
      </c>
      <c r="H67" s="26" t="s">
        <v>844</v>
      </c>
      <c r="I67" s="26"/>
      <c r="J67" s="26"/>
      <c r="K67" s="26" t="s">
        <v>726</v>
      </c>
      <c r="L67" s="25" t="s">
        <v>100</v>
      </c>
      <c r="M67" s="25" t="s">
        <v>102</v>
      </c>
      <c r="N67" s="25" t="s">
        <v>147</v>
      </c>
      <c r="O67" s="25"/>
    </row>
    <row r="68" spans="1:15" ht="90" x14ac:dyDescent="0.25">
      <c r="A68" s="25">
        <v>67</v>
      </c>
      <c r="B68" s="25" t="s">
        <v>727</v>
      </c>
      <c r="C68" s="25" t="s">
        <v>35</v>
      </c>
      <c r="D68" s="25" t="s">
        <v>19</v>
      </c>
      <c r="E68" s="25" t="s">
        <v>49</v>
      </c>
      <c r="F68" s="25" t="s">
        <v>68</v>
      </c>
      <c r="G68" s="26" t="s">
        <v>845</v>
      </c>
      <c r="H68" s="26" t="s">
        <v>846</v>
      </c>
      <c r="I68" s="26"/>
      <c r="J68" s="26"/>
      <c r="K68" s="26" t="s">
        <v>707</v>
      </c>
      <c r="L68" s="25" t="s">
        <v>100</v>
      </c>
      <c r="M68" s="25" t="s">
        <v>102</v>
      </c>
      <c r="N68" s="25" t="s">
        <v>148</v>
      </c>
      <c r="O68" s="25"/>
    </row>
    <row r="69" spans="1:15" ht="90" x14ac:dyDescent="0.25">
      <c r="A69" s="25">
        <v>68</v>
      </c>
      <c r="B69" s="25" t="s">
        <v>728</v>
      </c>
      <c r="C69" s="25" t="s">
        <v>35</v>
      </c>
      <c r="D69" s="25" t="s">
        <v>19</v>
      </c>
      <c r="E69" s="25" t="s">
        <v>49</v>
      </c>
      <c r="F69" s="25" t="s">
        <v>68</v>
      </c>
      <c r="G69" s="26" t="s">
        <v>847</v>
      </c>
      <c r="H69" s="26" t="s">
        <v>848</v>
      </c>
      <c r="I69" s="26"/>
      <c r="J69" s="26"/>
      <c r="K69" s="26" t="s">
        <v>729</v>
      </c>
      <c r="L69" s="25" t="s">
        <v>100</v>
      </c>
      <c r="M69" s="25" t="s">
        <v>102</v>
      </c>
      <c r="N69" s="25" t="s">
        <v>148</v>
      </c>
      <c r="O69" s="25"/>
    </row>
    <row r="70" spans="1:15" ht="180" x14ac:dyDescent="0.25">
      <c r="A70" s="25">
        <v>69</v>
      </c>
      <c r="B70" s="25" t="s">
        <v>626</v>
      </c>
      <c r="C70" s="25" t="s">
        <v>42</v>
      </c>
      <c r="D70" s="25" t="s">
        <v>41</v>
      </c>
      <c r="E70" s="25" t="s">
        <v>50</v>
      </c>
      <c r="F70" s="25" t="s">
        <v>69</v>
      </c>
      <c r="G70" s="26" t="s">
        <v>849</v>
      </c>
      <c r="H70" s="26" t="s">
        <v>850</v>
      </c>
      <c r="I70" s="26"/>
      <c r="J70" s="26"/>
      <c r="K70" s="26" t="s">
        <v>643</v>
      </c>
      <c r="L70" s="25" t="s">
        <v>101</v>
      </c>
      <c r="M70" s="25" t="s">
        <v>102</v>
      </c>
      <c r="N70" s="25" t="s">
        <v>149</v>
      </c>
      <c r="O70" s="2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0"/>
  <sheetViews>
    <sheetView tabSelected="1" workbookViewId="0">
      <pane xSplit="3" ySplit="1" topLeftCell="F12" activePane="bottomRight" state="frozen"/>
      <selection pane="topRight" activeCell="D1" sqref="D1"/>
      <selection pane="bottomLeft" activeCell="A2" sqref="A2"/>
      <selection pane="bottomRight" activeCell="G12" sqref="G12"/>
    </sheetView>
  </sheetViews>
  <sheetFormatPr baseColWidth="10" defaultRowHeight="15" x14ac:dyDescent="0.25"/>
  <cols>
    <col min="1" max="1" width="5.7109375" style="24" bestFit="1" customWidth="1"/>
    <col min="2" max="2" width="29" style="24" customWidth="1"/>
    <col min="3" max="3" width="37.140625" style="24" bestFit="1" customWidth="1"/>
    <col min="4" max="6" width="20.28515625" style="24" customWidth="1"/>
    <col min="7" max="7" width="48.7109375" style="23" customWidth="1"/>
    <col min="8" max="8" width="34.5703125" style="23" customWidth="1"/>
    <col min="9" max="9" width="43.7109375" style="23" customWidth="1"/>
    <col min="10" max="10" width="41.42578125" style="23" customWidth="1"/>
    <col min="11" max="11" width="38" style="23" customWidth="1"/>
    <col min="12" max="12" width="40.42578125" style="23" customWidth="1"/>
    <col min="13" max="13" width="43" style="23" customWidth="1"/>
    <col min="14" max="14" width="15.5703125" style="24" customWidth="1"/>
    <col min="15" max="15" width="11.42578125" style="24"/>
    <col min="16" max="16" width="15" style="24" customWidth="1"/>
    <col min="17" max="16384" width="11.42578125" style="24"/>
  </cols>
  <sheetData>
    <row r="1" spans="1:17" ht="30" x14ac:dyDescent="0.25">
      <c r="A1" s="25" t="s">
        <v>64</v>
      </c>
      <c r="B1" s="25" t="s">
        <v>52</v>
      </c>
      <c r="C1" s="25" t="s">
        <v>43</v>
      </c>
      <c r="D1" s="25" t="s">
        <v>65</v>
      </c>
      <c r="E1" s="25" t="s">
        <v>47</v>
      </c>
      <c r="F1" s="25" t="s">
        <v>66</v>
      </c>
      <c r="G1" s="26" t="s">
        <v>45</v>
      </c>
      <c r="H1" s="26" t="s">
        <v>85</v>
      </c>
      <c r="I1" s="26" t="s">
        <v>1186</v>
      </c>
      <c r="J1" s="26" t="s">
        <v>1187</v>
      </c>
      <c r="K1" s="26" t="s">
        <v>46</v>
      </c>
      <c r="L1" s="26" t="s">
        <v>95</v>
      </c>
      <c r="M1" s="26" t="s">
        <v>44</v>
      </c>
      <c r="N1" s="25" t="s">
        <v>97</v>
      </c>
      <c r="O1" s="25" t="s">
        <v>98</v>
      </c>
      <c r="P1" s="25" t="s">
        <v>96</v>
      </c>
      <c r="Q1" s="25"/>
    </row>
    <row r="2" spans="1:17" ht="195" x14ac:dyDescent="0.25">
      <c r="A2" s="25">
        <v>1</v>
      </c>
      <c r="B2" s="25" t="s">
        <v>53</v>
      </c>
      <c r="C2" s="25" t="s">
        <v>16</v>
      </c>
      <c r="D2" s="25" t="s">
        <v>0</v>
      </c>
      <c r="E2" s="25" t="s">
        <v>48</v>
      </c>
      <c r="F2" s="25" t="s">
        <v>67</v>
      </c>
      <c r="G2" s="26" t="s">
        <v>61</v>
      </c>
      <c r="H2" s="26" t="s">
        <v>84</v>
      </c>
      <c r="I2" s="26" t="s">
        <v>1060</v>
      </c>
      <c r="J2" s="26" t="s">
        <v>991</v>
      </c>
      <c r="K2" s="26"/>
      <c r="L2" s="26"/>
      <c r="M2" s="26" t="s">
        <v>644</v>
      </c>
      <c r="N2" s="25" t="s">
        <v>99</v>
      </c>
      <c r="O2" s="25" t="s">
        <v>102</v>
      </c>
      <c r="P2" s="25" t="s">
        <v>103</v>
      </c>
      <c r="Q2" s="25"/>
    </row>
    <row r="3" spans="1:17" ht="120" x14ac:dyDescent="0.25">
      <c r="A3" s="25">
        <v>2</v>
      </c>
      <c r="B3" s="25" t="s">
        <v>62</v>
      </c>
      <c r="C3" s="25" t="s">
        <v>60</v>
      </c>
      <c r="D3" s="25" t="s">
        <v>0</v>
      </c>
      <c r="E3" s="25" t="s">
        <v>48</v>
      </c>
      <c r="F3" s="25" t="s">
        <v>67</v>
      </c>
      <c r="G3" s="26" t="s">
        <v>63</v>
      </c>
      <c r="H3" s="26" t="s">
        <v>84</v>
      </c>
      <c r="I3" s="26" t="s">
        <v>1061</v>
      </c>
      <c r="J3" s="26" t="s">
        <v>992</v>
      </c>
      <c r="K3" s="26"/>
      <c r="L3" s="26"/>
      <c r="M3" s="26"/>
      <c r="N3" s="25" t="s">
        <v>99</v>
      </c>
      <c r="O3" s="25" t="s">
        <v>102</v>
      </c>
      <c r="P3" s="25" t="s">
        <v>104</v>
      </c>
      <c r="Q3" s="25"/>
    </row>
    <row r="4" spans="1:17" ht="409.5" x14ac:dyDescent="0.25">
      <c r="A4" s="25">
        <v>3</v>
      </c>
      <c r="B4" s="25" t="s">
        <v>70</v>
      </c>
      <c r="C4" s="25" t="s">
        <v>1</v>
      </c>
      <c r="D4" s="25" t="s">
        <v>0</v>
      </c>
      <c r="E4" s="25" t="s">
        <v>48</v>
      </c>
      <c r="F4" s="25" t="s">
        <v>67</v>
      </c>
      <c r="G4" s="26" t="s">
        <v>1062</v>
      </c>
      <c r="H4" s="26" t="s">
        <v>86</v>
      </c>
      <c r="I4" s="26" t="s">
        <v>1063</v>
      </c>
      <c r="J4" s="26" t="s">
        <v>993</v>
      </c>
      <c r="K4" s="26"/>
      <c r="L4" s="26" t="s">
        <v>1064</v>
      </c>
      <c r="M4" s="26" t="s">
        <v>730</v>
      </c>
      <c r="N4" s="25"/>
      <c r="O4" s="25" t="s">
        <v>99</v>
      </c>
      <c r="P4" s="25" t="s">
        <v>102</v>
      </c>
      <c r="Q4" s="25" t="s">
        <v>105</v>
      </c>
    </row>
    <row r="5" spans="1:17" ht="165" x14ac:dyDescent="0.25">
      <c r="A5" s="25">
        <v>4</v>
      </c>
      <c r="B5" s="25" t="s">
        <v>71</v>
      </c>
      <c r="C5" s="25" t="s">
        <v>4</v>
      </c>
      <c r="D5" s="25" t="s">
        <v>0</v>
      </c>
      <c r="E5" s="25" t="s">
        <v>48</v>
      </c>
      <c r="F5" s="25" t="s">
        <v>67</v>
      </c>
      <c r="G5" s="26" t="s">
        <v>76</v>
      </c>
      <c r="H5" s="26"/>
      <c r="I5" s="26" t="s">
        <v>851</v>
      </c>
      <c r="J5" s="26" t="s">
        <v>994</v>
      </c>
      <c r="K5" s="26"/>
      <c r="L5" s="26"/>
      <c r="M5" s="26" t="s">
        <v>74</v>
      </c>
      <c r="N5" s="25" t="s">
        <v>99</v>
      </c>
      <c r="O5" s="25" t="s">
        <v>102</v>
      </c>
      <c r="P5" s="25" t="s">
        <v>106</v>
      </c>
      <c r="Q5" s="25"/>
    </row>
    <row r="6" spans="1:17" ht="165" x14ac:dyDescent="0.25">
      <c r="A6" s="25">
        <v>5</v>
      </c>
      <c r="B6" s="25" t="s">
        <v>75</v>
      </c>
      <c r="C6" s="25" t="s">
        <v>57</v>
      </c>
      <c r="D6" s="25" t="s">
        <v>0</v>
      </c>
      <c r="E6" s="25" t="s">
        <v>48</v>
      </c>
      <c r="F6" s="25" t="s">
        <v>67</v>
      </c>
      <c r="G6" s="26" t="s">
        <v>645</v>
      </c>
      <c r="H6" s="26"/>
      <c r="I6" s="26" t="s">
        <v>852</v>
      </c>
      <c r="J6" s="26" t="s">
        <v>995</v>
      </c>
      <c r="K6" s="26"/>
      <c r="L6" s="26"/>
      <c r="M6" s="26"/>
      <c r="N6" s="25" t="s">
        <v>99</v>
      </c>
      <c r="O6" s="25" t="s">
        <v>102</v>
      </c>
      <c r="P6" s="25" t="s">
        <v>107</v>
      </c>
      <c r="Q6" s="25"/>
    </row>
    <row r="7" spans="1:17" ht="180" x14ac:dyDescent="0.25">
      <c r="A7" s="25">
        <v>6</v>
      </c>
      <c r="B7" s="25" t="s">
        <v>77</v>
      </c>
      <c r="C7" s="25" t="s">
        <v>56</v>
      </c>
      <c r="D7" s="25" t="s">
        <v>0</v>
      </c>
      <c r="E7" s="25" t="s">
        <v>48</v>
      </c>
      <c r="F7" s="25" t="s">
        <v>67</v>
      </c>
      <c r="G7" s="26" t="s">
        <v>646</v>
      </c>
      <c r="H7" s="26"/>
      <c r="I7" s="26" t="s">
        <v>853</v>
      </c>
      <c r="J7" s="26" t="s">
        <v>996</v>
      </c>
      <c r="K7" s="26"/>
      <c r="L7" s="26"/>
      <c r="M7" s="26" t="s">
        <v>81</v>
      </c>
      <c r="N7" s="25" t="s">
        <v>99</v>
      </c>
      <c r="O7" s="25" t="s">
        <v>102</v>
      </c>
      <c r="P7" s="25" t="s">
        <v>108</v>
      </c>
      <c r="Q7" s="25"/>
    </row>
    <row r="8" spans="1:17" ht="409.5" x14ac:dyDescent="0.25">
      <c r="A8" s="25">
        <v>7</v>
      </c>
      <c r="B8" s="25" t="s">
        <v>82</v>
      </c>
      <c r="C8" s="25" t="s">
        <v>55</v>
      </c>
      <c r="D8" s="25" t="s">
        <v>0</v>
      </c>
      <c r="E8" s="25" t="s">
        <v>48</v>
      </c>
      <c r="F8" s="25" t="s">
        <v>67</v>
      </c>
      <c r="G8" s="26" t="s">
        <v>1065</v>
      </c>
      <c r="H8" s="26" t="s">
        <v>88</v>
      </c>
      <c r="I8" s="26" t="s">
        <v>1066</v>
      </c>
      <c r="J8" s="26" t="s">
        <v>997</v>
      </c>
      <c r="K8" s="26" t="s">
        <v>90</v>
      </c>
      <c r="L8" s="26"/>
      <c r="M8" s="26"/>
      <c r="N8" s="25" t="s">
        <v>99</v>
      </c>
      <c r="O8" s="25" t="s">
        <v>102</v>
      </c>
      <c r="P8" s="25" t="s">
        <v>109</v>
      </c>
      <c r="Q8" s="25"/>
    </row>
    <row r="9" spans="1:17" ht="165" x14ac:dyDescent="0.25">
      <c r="A9" s="25">
        <v>8</v>
      </c>
      <c r="B9" s="25" t="s">
        <v>83</v>
      </c>
      <c r="C9" s="25" t="s">
        <v>59</v>
      </c>
      <c r="D9" s="25" t="s">
        <v>0</v>
      </c>
      <c r="E9" s="25" t="s">
        <v>48</v>
      </c>
      <c r="F9" s="25" t="s">
        <v>67</v>
      </c>
      <c r="G9" s="26" t="s">
        <v>93</v>
      </c>
      <c r="H9" s="26" t="s">
        <v>87</v>
      </c>
      <c r="I9" s="26" t="s">
        <v>854</v>
      </c>
      <c r="J9" s="26" t="s">
        <v>998</v>
      </c>
      <c r="K9" s="26"/>
      <c r="L9" s="26"/>
      <c r="M9" s="26"/>
      <c r="N9" s="25" t="s">
        <v>99</v>
      </c>
      <c r="O9" s="25" t="s">
        <v>102</v>
      </c>
      <c r="P9" s="25" t="s">
        <v>110</v>
      </c>
      <c r="Q9" s="25"/>
    </row>
    <row r="10" spans="1:17" ht="150" x14ac:dyDescent="0.25">
      <c r="A10" s="25">
        <v>9</v>
      </c>
      <c r="B10" s="25" t="s">
        <v>91</v>
      </c>
      <c r="C10" s="25" t="s">
        <v>58</v>
      </c>
      <c r="D10" s="25" t="s">
        <v>0</v>
      </c>
      <c r="E10" s="25" t="s">
        <v>48</v>
      </c>
      <c r="F10" s="25" t="s">
        <v>67</v>
      </c>
      <c r="G10" s="26" t="s">
        <v>94</v>
      </c>
      <c r="H10" s="26" t="s">
        <v>92</v>
      </c>
      <c r="I10" s="26" t="s">
        <v>855</v>
      </c>
      <c r="J10" s="26" t="s">
        <v>999</v>
      </c>
      <c r="K10" s="26"/>
      <c r="L10" s="26"/>
      <c r="M10" s="26"/>
      <c r="N10" s="25" t="s">
        <v>99</v>
      </c>
      <c r="O10" s="25" t="s">
        <v>102</v>
      </c>
      <c r="P10" s="25" t="s">
        <v>111</v>
      </c>
      <c r="Q10" s="25"/>
    </row>
    <row r="11" spans="1:17" ht="300" x14ac:dyDescent="0.25">
      <c r="A11" s="25">
        <v>10</v>
      </c>
      <c r="B11" s="25" t="s">
        <v>150</v>
      </c>
      <c r="C11" s="25" t="s">
        <v>18</v>
      </c>
      <c r="D11" s="25" t="s">
        <v>0</v>
      </c>
      <c r="E11" s="25" t="s">
        <v>48</v>
      </c>
      <c r="F11" s="25" t="s">
        <v>67</v>
      </c>
      <c r="G11" s="26" t="s">
        <v>1067</v>
      </c>
      <c r="H11" s="26" t="s">
        <v>732</v>
      </c>
      <c r="I11" s="26" t="s">
        <v>1068</v>
      </c>
      <c r="J11" s="26" t="s">
        <v>1000</v>
      </c>
      <c r="K11" s="26"/>
      <c r="L11" s="26"/>
      <c r="M11" s="26" t="s">
        <v>160</v>
      </c>
      <c r="N11" s="25" t="s">
        <v>99</v>
      </c>
      <c r="O11" s="25" t="s">
        <v>102</v>
      </c>
      <c r="P11" s="25" t="s">
        <v>112</v>
      </c>
      <c r="Q11" s="25"/>
    </row>
    <row r="12" spans="1:17" ht="360" x14ac:dyDescent="0.25">
      <c r="A12" s="25">
        <v>11</v>
      </c>
      <c r="B12" s="25" t="s">
        <v>161</v>
      </c>
      <c r="C12" s="25" t="s">
        <v>3</v>
      </c>
      <c r="D12" s="25" t="s">
        <v>0</v>
      </c>
      <c r="E12" s="25" t="s">
        <v>48</v>
      </c>
      <c r="F12" s="25" t="s">
        <v>67</v>
      </c>
      <c r="G12" s="26" t="s">
        <v>1069</v>
      </c>
      <c r="H12" s="26" t="s">
        <v>734</v>
      </c>
      <c r="I12" s="26" t="s">
        <v>1070</v>
      </c>
      <c r="J12" s="26" t="s">
        <v>1001</v>
      </c>
      <c r="K12" s="26"/>
      <c r="L12" s="26"/>
      <c r="M12" s="26"/>
      <c r="N12" s="25" t="s">
        <v>99</v>
      </c>
      <c r="O12" s="25" t="s">
        <v>102</v>
      </c>
      <c r="P12" s="25" t="s">
        <v>113</v>
      </c>
      <c r="Q12" s="25"/>
    </row>
    <row r="13" spans="1:17" ht="315" x14ac:dyDescent="0.25">
      <c r="A13" s="25">
        <v>12</v>
      </c>
      <c r="B13" s="25" t="s">
        <v>174</v>
      </c>
      <c r="C13" s="25" t="s">
        <v>2</v>
      </c>
      <c r="D13" s="25" t="s">
        <v>0</v>
      </c>
      <c r="E13" s="25" t="s">
        <v>48</v>
      </c>
      <c r="F13" s="25" t="s">
        <v>67</v>
      </c>
      <c r="G13" s="26" t="s">
        <v>1071</v>
      </c>
      <c r="H13" s="26" t="s">
        <v>736</v>
      </c>
      <c r="I13" s="26" t="s">
        <v>1072</v>
      </c>
      <c r="J13" s="26" t="s">
        <v>1002</v>
      </c>
      <c r="K13" s="26"/>
      <c r="L13" s="26"/>
      <c r="M13" s="26"/>
      <c r="N13" s="25" t="s">
        <v>99</v>
      </c>
      <c r="O13" s="25" t="s">
        <v>102</v>
      </c>
      <c r="P13" s="25" t="s">
        <v>114</v>
      </c>
      <c r="Q13" s="25"/>
    </row>
    <row r="14" spans="1:17" ht="360" x14ac:dyDescent="0.25">
      <c r="A14" s="25">
        <v>13</v>
      </c>
      <c r="B14" s="25" t="s">
        <v>187</v>
      </c>
      <c r="C14" s="25" t="s">
        <v>12</v>
      </c>
      <c r="D14" s="25" t="s">
        <v>0</v>
      </c>
      <c r="E14" s="25" t="s">
        <v>48</v>
      </c>
      <c r="F14" s="25" t="s">
        <v>67</v>
      </c>
      <c r="G14" s="26" t="s">
        <v>1073</v>
      </c>
      <c r="H14" s="26" t="s">
        <v>738</v>
      </c>
      <c r="I14" s="26" t="s">
        <v>1074</v>
      </c>
      <c r="J14" s="26" t="s">
        <v>1003</v>
      </c>
      <c r="K14" s="26"/>
      <c r="L14" s="26"/>
      <c r="M14" s="26"/>
      <c r="N14" s="25" t="s">
        <v>99</v>
      </c>
      <c r="O14" s="25" t="s">
        <v>102</v>
      </c>
      <c r="P14" s="25" t="s">
        <v>115</v>
      </c>
      <c r="Q14" s="25"/>
    </row>
    <row r="15" spans="1:17" ht="300" x14ac:dyDescent="0.25">
      <c r="A15" s="25">
        <v>14</v>
      </c>
      <c r="B15" s="25" t="s">
        <v>199</v>
      </c>
      <c r="C15" s="25" t="s">
        <v>11</v>
      </c>
      <c r="D15" s="25" t="s">
        <v>0</v>
      </c>
      <c r="E15" s="25" t="s">
        <v>48</v>
      </c>
      <c r="F15" s="25" t="s">
        <v>67</v>
      </c>
      <c r="G15" s="26" t="s">
        <v>1075</v>
      </c>
      <c r="H15" s="26" t="s">
        <v>740</v>
      </c>
      <c r="I15" s="26" t="s">
        <v>1076</v>
      </c>
      <c r="J15" s="26" t="s">
        <v>1004</v>
      </c>
      <c r="K15" s="26"/>
      <c r="L15" s="26"/>
      <c r="M15" s="26" t="s">
        <v>212</v>
      </c>
      <c r="N15" s="25" t="s">
        <v>99</v>
      </c>
      <c r="O15" s="25" t="s">
        <v>102</v>
      </c>
      <c r="P15" s="25" t="s">
        <v>116</v>
      </c>
      <c r="Q15" s="25"/>
    </row>
    <row r="16" spans="1:17" ht="285" x14ac:dyDescent="0.25">
      <c r="A16" s="25">
        <v>15</v>
      </c>
      <c r="B16" s="25" t="s">
        <v>213</v>
      </c>
      <c r="C16" s="25" t="s">
        <v>14</v>
      </c>
      <c r="D16" s="25" t="s">
        <v>0</v>
      </c>
      <c r="E16" s="25" t="s">
        <v>48</v>
      </c>
      <c r="F16" s="25" t="s">
        <v>67</v>
      </c>
      <c r="G16" s="26" t="s">
        <v>1077</v>
      </c>
      <c r="H16" s="26" t="s">
        <v>742</v>
      </c>
      <c r="I16" s="26" t="s">
        <v>1078</v>
      </c>
      <c r="J16" s="26" t="s">
        <v>1005</v>
      </c>
      <c r="K16" s="26"/>
      <c r="L16" s="26"/>
      <c r="M16" s="26"/>
      <c r="N16" s="25" t="s">
        <v>99</v>
      </c>
      <c r="O16" s="25" t="s">
        <v>102</v>
      </c>
      <c r="P16" s="25" t="s">
        <v>117</v>
      </c>
      <c r="Q16" s="25"/>
    </row>
    <row r="17" spans="1:17" ht="315" x14ac:dyDescent="0.25">
      <c r="A17" s="25">
        <v>16</v>
      </c>
      <c r="B17" s="25" t="s">
        <v>225</v>
      </c>
      <c r="C17" s="25" t="s">
        <v>10</v>
      </c>
      <c r="D17" s="25" t="s">
        <v>0</v>
      </c>
      <c r="E17" s="25" t="s">
        <v>48</v>
      </c>
      <c r="F17" s="25" t="s">
        <v>67</v>
      </c>
      <c r="G17" s="26" t="s">
        <v>1079</v>
      </c>
      <c r="H17" s="26" t="s">
        <v>744</v>
      </c>
      <c r="I17" s="26" t="s">
        <v>1080</v>
      </c>
      <c r="J17" s="26" t="s">
        <v>1006</v>
      </c>
      <c r="K17" s="26"/>
      <c r="L17" s="26"/>
      <c r="M17" s="26" t="s">
        <v>237</v>
      </c>
      <c r="N17" s="25" t="s">
        <v>99</v>
      </c>
      <c r="O17" s="25" t="s">
        <v>102</v>
      </c>
      <c r="P17" s="25" t="s">
        <v>118</v>
      </c>
      <c r="Q17" s="25"/>
    </row>
    <row r="18" spans="1:17" ht="345" x14ac:dyDescent="0.25">
      <c r="A18" s="25">
        <v>17</v>
      </c>
      <c r="B18" s="25" t="s">
        <v>238</v>
      </c>
      <c r="C18" s="25" t="s">
        <v>9</v>
      </c>
      <c r="D18" s="25" t="s">
        <v>0</v>
      </c>
      <c r="E18" s="25" t="s">
        <v>48</v>
      </c>
      <c r="F18" s="25" t="s">
        <v>67</v>
      </c>
      <c r="G18" s="26" t="s">
        <v>1081</v>
      </c>
      <c r="H18" s="26" t="s">
        <v>746</v>
      </c>
      <c r="I18" s="26" t="s">
        <v>1082</v>
      </c>
      <c r="J18" s="26" t="s">
        <v>1007</v>
      </c>
      <c r="K18" s="26"/>
      <c r="L18" s="26"/>
      <c r="M18" s="26" t="s">
        <v>252</v>
      </c>
      <c r="N18" s="25" t="s">
        <v>99</v>
      </c>
      <c r="O18" s="25" t="s">
        <v>102</v>
      </c>
      <c r="P18" s="25" t="s">
        <v>119</v>
      </c>
      <c r="Q18" s="25"/>
    </row>
    <row r="19" spans="1:17" ht="315" x14ac:dyDescent="0.25">
      <c r="A19" s="25">
        <v>18</v>
      </c>
      <c r="B19" s="25" t="s">
        <v>253</v>
      </c>
      <c r="C19" s="25" t="s">
        <v>8</v>
      </c>
      <c r="D19" s="25" t="s">
        <v>0</v>
      </c>
      <c r="E19" s="25" t="s">
        <v>48</v>
      </c>
      <c r="F19" s="25" t="s">
        <v>67</v>
      </c>
      <c r="G19" s="26" t="s">
        <v>1083</v>
      </c>
      <c r="H19" s="26" t="s">
        <v>748</v>
      </c>
      <c r="I19" s="26" t="s">
        <v>1084</v>
      </c>
      <c r="J19" s="26" t="s">
        <v>1008</v>
      </c>
      <c r="K19" s="26"/>
      <c r="L19" s="26"/>
      <c r="M19" s="26"/>
      <c r="N19" s="25" t="s">
        <v>99</v>
      </c>
      <c r="O19" s="25" t="s">
        <v>102</v>
      </c>
      <c r="P19" s="25" t="s">
        <v>120</v>
      </c>
      <c r="Q19" s="25"/>
    </row>
    <row r="20" spans="1:17" ht="405" x14ac:dyDescent="0.25">
      <c r="A20" s="25">
        <v>19</v>
      </c>
      <c r="B20" s="25" t="s">
        <v>264</v>
      </c>
      <c r="C20" s="25" t="s">
        <v>7</v>
      </c>
      <c r="D20" s="25" t="s">
        <v>0</v>
      </c>
      <c r="E20" s="25" t="s">
        <v>48</v>
      </c>
      <c r="F20" s="25" t="s">
        <v>67</v>
      </c>
      <c r="G20" s="26" t="s">
        <v>1085</v>
      </c>
      <c r="H20" s="26" t="s">
        <v>750</v>
      </c>
      <c r="I20" s="26" t="s">
        <v>856</v>
      </c>
      <c r="J20" s="26" t="s">
        <v>1009</v>
      </c>
      <c r="K20" s="26"/>
      <c r="L20" s="26"/>
      <c r="M20" s="26" t="s">
        <v>272</v>
      </c>
      <c r="N20" s="25" t="s">
        <v>99</v>
      </c>
      <c r="O20" s="25" t="s">
        <v>102</v>
      </c>
      <c r="P20" s="25" t="s">
        <v>121</v>
      </c>
      <c r="Q20" s="25"/>
    </row>
    <row r="21" spans="1:17" ht="255" x14ac:dyDescent="0.25">
      <c r="A21" s="25">
        <v>20</v>
      </c>
      <c r="B21" s="25" t="s">
        <v>273</v>
      </c>
      <c r="C21" s="25" t="s">
        <v>6</v>
      </c>
      <c r="D21" s="25" t="s">
        <v>0</v>
      </c>
      <c r="E21" s="25" t="s">
        <v>48</v>
      </c>
      <c r="F21" s="25" t="s">
        <v>67</v>
      </c>
      <c r="G21" s="26" t="s">
        <v>1086</v>
      </c>
      <c r="H21" s="26" t="s">
        <v>752</v>
      </c>
      <c r="I21" s="26" t="s">
        <v>857</v>
      </c>
      <c r="J21" s="26" t="s">
        <v>1010</v>
      </c>
      <c r="K21" s="26"/>
      <c r="L21" s="26"/>
      <c r="M21" s="26" t="s">
        <v>284</v>
      </c>
      <c r="N21" s="25" t="s">
        <v>99</v>
      </c>
      <c r="O21" s="25" t="s">
        <v>102</v>
      </c>
      <c r="P21" s="25" t="s">
        <v>122</v>
      </c>
      <c r="Q21" s="25"/>
    </row>
    <row r="22" spans="1:17" ht="255" x14ac:dyDescent="0.25">
      <c r="A22" s="25">
        <v>21</v>
      </c>
      <c r="B22" s="25" t="s">
        <v>285</v>
      </c>
      <c r="C22" s="25" t="s">
        <v>5</v>
      </c>
      <c r="D22" s="25" t="s">
        <v>0</v>
      </c>
      <c r="E22" s="25" t="s">
        <v>48</v>
      </c>
      <c r="F22" s="25" t="s">
        <v>67</v>
      </c>
      <c r="G22" s="26" t="s">
        <v>1087</v>
      </c>
      <c r="H22" s="26" t="s">
        <v>754</v>
      </c>
      <c r="I22" s="26" t="s">
        <v>1088</v>
      </c>
      <c r="J22" s="26" t="s">
        <v>1011</v>
      </c>
      <c r="K22" s="26"/>
      <c r="L22" s="26"/>
      <c r="M22" s="26"/>
      <c r="N22" s="25" t="s">
        <v>99</v>
      </c>
      <c r="O22" s="25" t="s">
        <v>102</v>
      </c>
      <c r="P22" s="25" t="s">
        <v>123</v>
      </c>
      <c r="Q22" s="25"/>
    </row>
    <row r="23" spans="1:17" ht="270" x14ac:dyDescent="0.25">
      <c r="A23" s="25">
        <v>22</v>
      </c>
      <c r="B23" s="25" t="s">
        <v>296</v>
      </c>
      <c r="C23" s="25" t="s">
        <v>17</v>
      </c>
      <c r="D23" s="25" t="s">
        <v>0</v>
      </c>
      <c r="E23" s="25" t="s">
        <v>48</v>
      </c>
      <c r="F23" s="25" t="s">
        <v>67</v>
      </c>
      <c r="G23" s="26" t="s">
        <v>1089</v>
      </c>
      <c r="H23" s="26" t="s">
        <v>756</v>
      </c>
      <c r="I23" s="26" t="s">
        <v>1090</v>
      </c>
      <c r="J23" s="26" t="s">
        <v>1012</v>
      </c>
      <c r="K23" s="26"/>
      <c r="L23" s="26"/>
      <c r="M23" s="26"/>
      <c r="N23" s="25" t="s">
        <v>99</v>
      </c>
      <c r="O23" s="25" t="s">
        <v>102</v>
      </c>
      <c r="P23" s="25" t="s">
        <v>124</v>
      </c>
      <c r="Q23" s="25"/>
    </row>
    <row r="24" spans="1:17" ht="315" x14ac:dyDescent="0.25">
      <c r="A24" s="25">
        <v>23</v>
      </c>
      <c r="B24" s="25" t="s">
        <v>309</v>
      </c>
      <c r="C24" s="25" t="s">
        <v>15</v>
      </c>
      <c r="D24" s="25" t="s">
        <v>0</v>
      </c>
      <c r="E24" s="25" t="s">
        <v>48</v>
      </c>
      <c r="F24" s="25" t="s">
        <v>67</v>
      </c>
      <c r="G24" s="26" t="s">
        <v>1091</v>
      </c>
      <c r="H24" s="26" t="s">
        <v>758</v>
      </c>
      <c r="I24" s="26" t="s">
        <v>1092</v>
      </c>
      <c r="J24" s="26" t="s">
        <v>1013</v>
      </c>
      <c r="K24" s="26"/>
      <c r="L24" s="26"/>
      <c r="M24" s="26"/>
      <c r="N24" s="25" t="s">
        <v>99</v>
      </c>
      <c r="O24" s="25" t="s">
        <v>102</v>
      </c>
      <c r="P24" s="25" t="s">
        <v>125</v>
      </c>
      <c r="Q24" s="25"/>
    </row>
    <row r="25" spans="1:17" ht="360" x14ac:dyDescent="0.25">
      <c r="A25" s="25">
        <v>24</v>
      </c>
      <c r="B25" s="25" t="s">
        <v>323</v>
      </c>
      <c r="C25" s="25" t="s">
        <v>13</v>
      </c>
      <c r="D25" s="25" t="s">
        <v>0</v>
      </c>
      <c r="E25" s="25" t="s">
        <v>48</v>
      </c>
      <c r="F25" s="25" t="s">
        <v>67</v>
      </c>
      <c r="G25" s="26" t="s">
        <v>1093</v>
      </c>
      <c r="H25" s="26" t="s">
        <v>760</v>
      </c>
      <c r="I25" s="26" t="s">
        <v>858</v>
      </c>
      <c r="J25" s="26" t="s">
        <v>1014</v>
      </c>
      <c r="K25" s="26"/>
      <c r="L25" s="26"/>
      <c r="M25" s="26"/>
      <c r="N25" s="25" t="s">
        <v>99</v>
      </c>
      <c r="O25" s="25" t="s">
        <v>102</v>
      </c>
      <c r="P25" s="25" t="s">
        <v>126</v>
      </c>
      <c r="Q25" s="25"/>
    </row>
    <row r="26" spans="1:17" ht="240" x14ac:dyDescent="0.25">
      <c r="A26" s="25">
        <v>25</v>
      </c>
      <c r="B26" s="25" t="s">
        <v>647</v>
      </c>
      <c r="C26" s="25" t="s">
        <v>34</v>
      </c>
      <c r="D26" s="25" t="s">
        <v>19</v>
      </c>
      <c r="E26" s="25" t="s">
        <v>49</v>
      </c>
      <c r="F26" s="25" t="s">
        <v>68</v>
      </c>
      <c r="G26" s="26" t="s">
        <v>1094</v>
      </c>
      <c r="H26" s="26" t="s">
        <v>762</v>
      </c>
      <c r="I26" s="26" t="s">
        <v>1095</v>
      </c>
      <c r="J26" s="26" t="s">
        <v>1015</v>
      </c>
      <c r="K26" s="26"/>
      <c r="L26" s="26"/>
      <c r="M26" s="26" t="s">
        <v>648</v>
      </c>
      <c r="N26" s="25" t="s">
        <v>100</v>
      </c>
      <c r="O26" s="25" t="s">
        <v>102</v>
      </c>
      <c r="P26" s="25" t="s">
        <v>127</v>
      </c>
      <c r="Q26" s="25"/>
    </row>
    <row r="27" spans="1:17" ht="225" x14ac:dyDescent="0.25">
      <c r="A27" s="25">
        <v>26</v>
      </c>
      <c r="B27" s="25" t="s">
        <v>649</v>
      </c>
      <c r="C27" s="25" t="s">
        <v>34</v>
      </c>
      <c r="D27" s="25" t="s">
        <v>19</v>
      </c>
      <c r="E27" s="25" t="s">
        <v>49</v>
      </c>
      <c r="F27" s="25" t="s">
        <v>68</v>
      </c>
      <c r="G27" s="26" t="s">
        <v>1096</v>
      </c>
      <c r="H27" s="26" t="s">
        <v>764</v>
      </c>
      <c r="I27" s="26" t="s">
        <v>1097</v>
      </c>
      <c r="J27" s="26" t="s">
        <v>1016</v>
      </c>
      <c r="K27" s="26"/>
      <c r="L27" s="26"/>
      <c r="M27" s="26" t="s">
        <v>650</v>
      </c>
      <c r="N27" s="25" t="s">
        <v>100</v>
      </c>
      <c r="O27" s="25" t="s">
        <v>102</v>
      </c>
      <c r="P27" s="25" t="s">
        <v>127</v>
      </c>
      <c r="Q27" s="25"/>
    </row>
    <row r="28" spans="1:17" ht="225" x14ac:dyDescent="0.25">
      <c r="A28" s="25">
        <v>27</v>
      </c>
      <c r="B28" s="25" t="s">
        <v>651</v>
      </c>
      <c r="C28" s="25" t="s">
        <v>25</v>
      </c>
      <c r="D28" s="25" t="s">
        <v>19</v>
      </c>
      <c r="E28" s="25" t="s">
        <v>49</v>
      </c>
      <c r="F28" s="25" t="s">
        <v>68</v>
      </c>
      <c r="G28" s="26" t="s">
        <v>1098</v>
      </c>
      <c r="H28" s="26" t="s">
        <v>766</v>
      </c>
      <c r="I28" s="26" t="s">
        <v>1099</v>
      </c>
      <c r="J28" s="26" t="s">
        <v>1017</v>
      </c>
      <c r="K28" s="26"/>
      <c r="L28" s="26"/>
      <c r="M28" s="26" t="s">
        <v>652</v>
      </c>
      <c r="N28" s="25" t="s">
        <v>100</v>
      </c>
      <c r="O28" s="25" t="s">
        <v>102</v>
      </c>
      <c r="P28" s="25" t="s">
        <v>128</v>
      </c>
      <c r="Q28" s="25"/>
    </row>
    <row r="29" spans="1:17" ht="195" x14ac:dyDescent="0.25">
      <c r="A29" s="25">
        <v>28</v>
      </c>
      <c r="B29" s="25" t="s">
        <v>653</v>
      </c>
      <c r="C29" s="25" t="s">
        <v>25</v>
      </c>
      <c r="D29" s="25" t="s">
        <v>19</v>
      </c>
      <c r="E29" s="25" t="s">
        <v>49</v>
      </c>
      <c r="F29" s="25" t="s">
        <v>68</v>
      </c>
      <c r="G29" s="26" t="s">
        <v>1100</v>
      </c>
      <c r="H29" s="26" t="s">
        <v>768</v>
      </c>
      <c r="I29" s="26" t="s">
        <v>1101</v>
      </c>
      <c r="J29" s="26" t="s">
        <v>1018</v>
      </c>
      <c r="K29" s="26"/>
      <c r="L29" s="26"/>
      <c r="M29" s="26" t="s">
        <v>654</v>
      </c>
      <c r="N29" s="25" t="s">
        <v>100</v>
      </c>
      <c r="O29" s="25" t="s">
        <v>102</v>
      </c>
      <c r="P29" s="25" t="s">
        <v>128</v>
      </c>
      <c r="Q29" s="25"/>
    </row>
    <row r="30" spans="1:17" ht="195" x14ac:dyDescent="0.25">
      <c r="A30" s="25">
        <v>29</v>
      </c>
      <c r="B30" s="25" t="s">
        <v>655</v>
      </c>
      <c r="C30" s="25" t="s">
        <v>23</v>
      </c>
      <c r="D30" s="25" t="s">
        <v>19</v>
      </c>
      <c r="E30" s="25" t="s">
        <v>49</v>
      </c>
      <c r="F30" s="25" t="s">
        <v>68</v>
      </c>
      <c r="G30" s="26" t="s">
        <v>1102</v>
      </c>
      <c r="H30" s="26" t="s">
        <v>770</v>
      </c>
      <c r="I30" s="26" t="s">
        <v>1103</v>
      </c>
      <c r="J30" s="26" t="s">
        <v>1019</v>
      </c>
      <c r="K30" s="26"/>
      <c r="L30" s="26"/>
      <c r="M30" s="26" t="s">
        <v>656</v>
      </c>
      <c r="N30" s="25" t="s">
        <v>100</v>
      </c>
      <c r="O30" s="25" t="s">
        <v>102</v>
      </c>
      <c r="P30" s="25" t="s">
        <v>129</v>
      </c>
      <c r="Q30" s="25"/>
    </row>
    <row r="31" spans="1:17" ht="165" x14ac:dyDescent="0.25">
      <c r="A31" s="25">
        <v>30</v>
      </c>
      <c r="B31" s="25" t="s">
        <v>657</v>
      </c>
      <c r="C31" s="25" t="s">
        <v>23</v>
      </c>
      <c r="D31" s="25" t="s">
        <v>19</v>
      </c>
      <c r="E31" s="25" t="s">
        <v>49</v>
      </c>
      <c r="F31" s="25" t="s">
        <v>68</v>
      </c>
      <c r="G31" s="26" t="s">
        <v>1104</v>
      </c>
      <c r="H31" s="26" t="s">
        <v>772</v>
      </c>
      <c r="I31" s="26" t="s">
        <v>1105</v>
      </c>
      <c r="J31" s="26" t="s">
        <v>1020</v>
      </c>
      <c r="K31" s="26"/>
      <c r="L31" s="26"/>
      <c r="M31" s="26" t="s">
        <v>658</v>
      </c>
      <c r="N31" s="25" t="s">
        <v>100</v>
      </c>
      <c r="O31" s="25" t="s">
        <v>102</v>
      </c>
      <c r="P31" s="25" t="s">
        <v>129</v>
      </c>
      <c r="Q31" s="25"/>
    </row>
    <row r="32" spans="1:17" ht="180" x14ac:dyDescent="0.25">
      <c r="A32" s="25">
        <v>31</v>
      </c>
      <c r="B32" s="25" t="s">
        <v>659</v>
      </c>
      <c r="C32" s="25" t="s">
        <v>22</v>
      </c>
      <c r="D32" s="25" t="s">
        <v>19</v>
      </c>
      <c r="E32" s="25" t="s">
        <v>49</v>
      </c>
      <c r="F32" s="25" t="s">
        <v>68</v>
      </c>
      <c r="G32" s="26" t="s">
        <v>1106</v>
      </c>
      <c r="H32" s="26" t="s">
        <v>774</v>
      </c>
      <c r="I32" s="26" t="s">
        <v>1107</v>
      </c>
      <c r="J32" s="26" t="s">
        <v>1021</v>
      </c>
      <c r="K32" s="26"/>
      <c r="L32" s="26"/>
      <c r="M32" s="26" t="s">
        <v>660</v>
      </c>
      <c r="N32" s="25" t="s">
        <v>100</v>
      </c>
      <c r="O32" s="25" t="s">
        <v>102</v>
      </c>
      <c r="P32" s="25" t="s">
        <v>130</v>
      </c>
      <c r="Q32" s="25"/>
    </row>
    <row r="33" spans="1:17" ht="165" x14ac:dyDescent="0.25">
      <c r="A33" s="25">
        <v>32</v>
      </c>
      <c r="B33" s="25" t="s">
        <v>661</v>
      </c>
      <c r="C33" s="25" t="s">
        <v>22</v>
      </c>
      <c r="D33" s="25" t="s">
        <v>19</v>
      </c>
      <c r="E33" s="25" t="s">
        <v>49</v>
      </c>
      <c r="F33" s="25" t="s">
        <v>68</v>
      </c>
      <c r="G33" s="26" t="s">
        <v>1108</v>
      </c>
      <c r="H33" s="26" t="s">
        <v>776</v>
      </c>
      <c r="I33" s="26" t="s">
        <v>1109</v>
      </c>
      <c r="J33" s="26" t="s">
        <v>1022</v>
      </c>
      <c r="K33" s="26"/>
      <c r="L33" s="26"/>
      <c r="M33" s="26" t="s">
        <v>662</v>
      </c>
      <c r="N33" s="25" t="s">
        <v>100</v>
      </c>
      <c r="O33" s="25" t="s">
        <v>102</v>
      </c>
      <c r="P33" s="25" t="s">
        <v>130</v>
      </c>
      <c r="Q33" s="25"/>
    </row>
    <row r="34" spans="1:17" ht="210" x14ac:dyDescent="0.25">
      <c r="A34" s="25">
        <v>33</v>
      </c>
      <c r="B34" s="25" t="s">
        <v>663</v>
      </c>
      <c r="C34" s="25" t="s">
        <v>21</v>
      </c>
      <c r="D34" s="25" t="s">
        <v>19</v>
      </c>
      <c r="E34" s="25" t="s">
        <v>49</v>
      </c>
      <c r="F34" s="25" t="s">
        <v>68</v>
      </c>
      <c r="G34" s="26" t="s">
        <v>1110</v>
      </c>
      <c r="H34" s="26" t="s">
        <v>778</v>
      </c>
      <c r="I34" s="26" t="s">
        <v>1111</v>
      </c>
      <c r="J34" s="26" t="s">
        <v>1023</v>
      </c>
      <c r="K34" s="26"/>
      <c r="L34" s="26"/>
      <c r="M34" s="26" t="s">
        <v>664</v>
      </c>
      <c r="N34" s="25" t="s">
        <v>100</v>
      </c>
      <c r="O34" s="25" t="s">
        <v>102</v>
      </c>
      <c r="P34" s="25" t="s">
        <v>131</v>
      </c>
      <c r="Q34" s="25"/>
    </row>
    <row r="35" spans="1:17" ht="195" x14ac:dyDescent="0.25">
      <c r="A35" s="25">
        <v>34</v>
      </c>
      <c r="B35" s="25" t="s">
        <v>665</v>
      </c>
      <c r="C35" s="25" t="s">
        <v>21</v>
      </c>
      <c r="D35" s="25" t="s">
        <v>19</v>
      </c>
      <c r="E35" s="25" t="s">
        <v>49</v>
      </c>
      <c r="F35" s="25" t="s">
        <v>68</v>
      </c>
      <c r="G35" s="26" t="s">
        <v>1112</v>
      </c>
      <c r="H35" s="26" t="s">
        <v>780</v>
      </c>
      <c r="I35" s="26" t="s">
        <v>1113</v>
      </c>
      <c r="J35" s="26" t="s">
        <v>1024</v>
      </c>
      <c r="K35" s="26"/>
      <c r="L35" s="26"/>
      <c r="M35" s="26" t="s">
        <v>666</v>
      </c>
      <c r="N35" s="25" t="s">
        <v>100</v>
      </c>
      <c r="O35" s="25" t="s">
        <v>102</v>
      </c>
      <c r="P35" s="25" t="s">
        <v>131</v>
      </c>
      <c r="Q35" s="25"/>
    </row>
    <row r="36" spans="1:17" ht="195" x14ac:dyDescent="0.25">
      <c r="A36" s="25">
        <v>35</v>
      </c>
      <c r="B36" s="25" t="s">
        <v>667</v>
      </c>
      <c r="C36" s="25" t="s">
        <v>20</v>
      </c>
      <c r="D36" s="25" t="s">
        <v>19</v>
      </c>
      <c r="E36" s="25" t="s">
        <v>49</v>
      </c>
      <c r="F36" s="25" t="s">
        <v>68</v>
      </c>
      <c r="G36" s="26" t="s">
        <v>1114</v>
      </c>
      <c r="H36" s="26" t="s">
        <v>782</v>
      </c>
      <c r="I36" s="26" t="s">
        <v>1115</v>
      </c>
      <c r="J36" s="26" t="s">
        <v>1025</v>
      </c>
      <c r="K36" s="26"/>
      <c r="L36" s="26"/>
      <c r="M36" s="26" t="s">
        <v>668</v>
      </c>
      <c r="N36" s="25" t="s">
        <v>100</v>
      </c>
      <c r="O36" s="25" t="s">
        <v>102</v>
      </c>
      <c r="P36" s="25" t="s">
        <v>132</v>
      </c>
      <c r="Q36" s="25"/>
    </row>
    <row r="37" spans="1:17" ht="195" x14ac:dyDescent="0.25">
      <c r="A37" s="25">
        <v>36</v>
      </c>
      <c r="B37" s="25" t="s">
        <v>669</v>
      </c>
      <c r="C37" s="25" t="s">
        <v>20</v>
      </c>
      <c r="D37" s="25" t="s">
        <v>19</v>
      </c>
      <c r="E37" s="25" t="s">
        <v>49</v>
      </c>
      <c r="F37" s="25" t="s">
        <v>68</v>
      </c>
      <c r="G37" s="26" t="s">
        <v>1116</v>
      </c>
      <c r="H37" s="26" t="s">
        <v>784</v>
      </c>
      <c r="I37" s="26" t="s">
        <v>1117</v>
      </c>
      <c r="J37" s="26" t="s">
        <v>1026</v>
      </c>
      <c r="K37" s="26"/>
      <c r="L37" s="26"/>
      <c r="M37" s="26" t="s">
        <v>670</v>
      </c>
      <c r="N37" s="25" t="s">
        <v>100</v>
      </c>
      <c r="O37" s="25" t="s">
        <v>102</v>
      </c>
      <c r="P37" s="25" t="s">
        <v>132</v>
      </c>
      <c r="Q37" s="25"/>
    </row>
    <row r="38" spans="1:17" ht="165" x14ac:dyDescent="0.25">
      <c r="A38" s="25">
        <v>37</v>
      </c>
      <c r="B38" s="25" t="s">
        <v>671</v>
      </c>
      <c r="C38" s="25" t="s">
        <v>33</v>
      </c>
      <c r="D38" s="25" t="s">
        <v>19</v>
      </c>
      <c r="E38" s="25" t="s">
        <v>49</v>
      </c>
      <c r="F38" s="25" t="s">
        <v>68</v>
      </c>
      <c r="G38" s="26" t="s">
        <v>1118</v>
      </c>
      <c r="H38" s="26" t="s">
        <v>786</v>
      </c>
      <c r="I38" s="26" t="s">
        <v>1119</v>
      </c>
      <c r="J38" s="26" t="s">
        <v>1027</v>
      </c>
      <c r="K38" s="26"/>
      <c r="L38" s="26"/>
      <c r="M38" s="26" t="s">
        <v>672</v>
      </c>
      <c r="N38" s="25" t="s">
        <v>100</v>
      </c>
      <c r="O38" s="25" t="s">
        <v>102</v>
      </c>
      <c r="P38" s="25" t="s">
        <v>133</v>
      </c>
      <c r="Q38" s="25"/>
    </row>
    <row r="39" spans="1:17" ht="165" x14ac:dyDescent="0.25">
      <c r="A39" s="25">
        <v>38</v>
      </c>
      <c r="B39" s="25" t="s">
        <v>673</v>
      </c>
      <c r="C39" s="25" t="s">
        <v>33</v>
      </c>
      <c r="D39" s="25" t="s">
        <v>19</v>
      </c>
      <c r="E39" s="25" t="s">
        <v>49</v>
      </c>
      <c r="F39" s="25" t="s">
        <v>68</v>
      </c>
      <c r="G39" s="26" t="s">
        <v>1120</v>
      </c>
      <c r="H39" s="26" t="s">
        <v>788</v>
      </c>
      <c r="I39" s="26" t="s">
        <v>1121</v>
      </c>
      <c r="J39" s="26" t="s">
        <v>1028</v>
      </c>
      <c r="K39" s="26"/>
      <c r="L39" s="26"/>
      <c r="M39" s="26" t="s">
        <v>674</v>
      </c>
      <c r="N39" s="25" t="s">
        <v>100</v>
      </c>
      <c r="O39" s="25" t="s">
        <v>102</v>
      </c>
      <c r="P39" s="25" t="s">
        <v>133</v>
      </c>
      <c r="Q39" s="25"/>
    </row>
    <row r="40" spans="1:17" ht="195" x14ac:dyDescent="0.25">
      <c r="A40" s="25">
        <v>39</v>
      </c>
      <c r="B40" s="25" t="s">
        <v>675</v>
      </c>
      <c r="C40" s="25" t="s">
        <v>32</v>
      </c>
      <c r="D40" s="25" t="s">
        <v>19</v>
      </c>
      <c r="E40" s="25" t="s">
        <v>49</v>
      </c>
      <c r="F40" s="25" t="s">
        <v>68</v>
      </c>
      <c r="G40" s="26" t="s">
        <v>1122</v>
      </c>
      <c r="H40" s="26" t="s">
        <v>790</v>
      </c>
      <c r="I40" s="26" t="s">
        <v>1123</v>
      </c>
      <c r="J40" s="26" t="s">
        <v>1029</v>
      </c>
      <c r="K40" s="26"/>
      <c r="L40" s="26"/>
      <c r="M40" s="26" t="s">
        <v>676</v>
      </c>
      <c r="N40" s="25" t="s">
        <v>100</v>
      </c>
      <c r="O40" s="25" t="s">
        <v>102</v>
      </c>
      <c r="P40" s="25" t="s">
        <v>134</v>
      </c>
      <c r="Q40" s="25"/>
    </row>
    <row r="41" spans="1:17" ht="180" x14ac:dyDescent="0.25">
      <c r="A41" s="25">
        <v>40</v>
      </c>
      <c r="B41" s="25" t="s">
        <v>677</v>
      </c>
      <c r="C41" s="25" t="s">
        <v>32</v>
      </c>
      <c r="D41" s="25" t="s">
        <v>19</v>
      </c>
      <c r="E41" s="25" t="s">
        <v>49</v>
      </c>
      <c r="F41" s="25" t="s">
        <v>68</v>
      </c>
      <c r="G41" s="26" t="s">
        <v>1124</v>
      </c>
      <c r="H41" s="26" t="s">
        <v>792</v>
      </c>
      <c r="I41" s="26" t="s">
        <v>1125</v>
      </c>
      <c r="J41" s="26" t="s">
        <v>1030</v>
      </c>
      <c r="K41" s="26"/>
      <c r="L41" s="26"/>
      <c r="M41" s="26" t="s">
        <v>678</v>
      </c>
      <c r="N41" s="25" t="s">
        <v>100</v>
      </c>
      <c r="O41" s="25" t="s">
        <v>102</v>
      </c>
      <c r="P41" s="25" t="s">
        <v>134</v>
      </c>
      <c r="Q41" s="25"/>
    </row>
    <row r="42" spans="1:17" ht="180" x14ac:dyDescent="0.25">
      <c r="A42" s="25">
        <v>41</v>
      </c>
      <c r="B42" s="25" t="s">
        <v>679</v>
      </c>
      <c r="C42" s="25" t="s">
        <v>31</v>
      </c>
      <c r="D42" s="25" t="s">
        <v>19</v>
      </c>
      <c r="E42" s="25" t="s">
        <v>49</v>
      </c>
      <c r="F42" s="25" t="s">
        <v>68</v>
      </c>
      <c r="G42" s="26" t="s">
        <v>1126</v>
      </c>
      <c r="H42" s="26" t="s">
        <v>794</v>
      </c>
      <c r="I42" s="26" t="s">
        <v>1127</v>
      </c>
      <c r="J42" s="26" t="s">
        <v>1031</v>
      </c>
      <c r="K42" s="26"/>
      <c r="L42" s="26"/>
      <c r="M42" s="26" t="s">
        <v>680</v>
      </c>
      <c r="N42" s="25" t="s">
        <v>100</v>
      </c>
      <c r="O42" s="25" t="s">
        <v>102</v>
      </c>
      <c r="P42" s="25" t="s">
        <v>135</v>
      </c>
      <c r="Q42" s="25"/>
    </row>
    <row r="43" spans="1:17" ht="165" x14ac:dyDescent="0.25">
      <c r="A43" s="25">
        <v>42</v>
      </c>
      <c r="B43" s="25" t="s">
        <v>681</v>
      </c>
      <c r="C43" s="25" t="s">
        <v>31</v>
      </c>
      <c r="D43" s="25" t="s">
        <v>19</v>
      </c>
      <c r="E43" s="25" t="s">
        <v>49</v>
      </c>
      <c r="F43" s="25" t="s">
        <v>68</v>
      </c>
      <c r="G43" s="26" t="s">
        <v>1128</v>
      </c>
      <c r="H43" s="26" t="s">
        <v>796</v>
      </c>
      <c r="I43" s="26" t="s">
        <v>1129</v>
      </c>
      <c r="J43" s="26" t="s">
        <v>1032</v>
      </c>
      <c r="K43" s="26"/>
      <c r="L43" s="26"/>
      <c r="M43" s="26" t="s">
        <v>682</v>
      </c>
      <c r="N43" s="25" t="s">
        <v>100</v>
      </c>
      <c r="O43" s="25" t="s">
        <v>102</v>
      </c>
      <c r="P43" s="25" t="s">
        <v>135</v>
      </c>
      <c r="Q43" s="25"/>
    </row>
    <row r="44" spans="1:17" ht="195" x14ac:dyDescent="0.25">
      <c r="A44" s="25">
        <v>43</v>
      </c>
      <c r="B44" s="25" t="s">
        <v>683</v>
      </c>
      <c r="C44" s="25" t="s">
        <v>30</v>
      </c>
      <c r="D44" s="25" t="s">
        <v>19</v>
      </c>
      <c r="E44" s="25" t="s">
        <v>49</v>
      </c>
      <c r="F44" s="25" t="s">
        <v>68</v>
      </c>
      <c r="G44" s="26" t="s">
        <v>1130</v>
      </c>
      <c r="H44" s="26" t="s">
        <v>798</v>
      </c>
      <c r="I44" s="26" t="s">
        <v>1131</v>
      </c>
      <c r="J44" s="26" t="s">
        <v>1033</v>
      </c>
      <c r="K44" s="26"/>
      <c r="L44" s="26"/>
      <c r="M44" s="26" t="s">
        <v>684</v>
      </c>
      <c r="N44" s="25" t="s">
        <v>100</v>
      </c>
      <c r="O44" s="25" t="s">
        <v>102</v>
      </c>
      <c r="P44" s="25" t="s">
        <v>136</v>
      </c>
      <c r="Q44" s="25"/>
    </row>
    <row r="45" spans="1:17" ht="165" x14ac:dyDescent="0.25">
      <c r="A45" s="25">
        <v>44</v>
      </c>
      <c r="B45" s="25" t="s">
        <v>685</v>
      </c>
      <c r="C45" s="25" t="s">
        <v>30</v>
      </c>
      <c r="D45" s="25" t="s">
        <v>19</v>
      </c>
      <c r="E45" s="25" t="s">
        <v>49</v>
      </c>
      <c r="F45" s="25" t="s">
        <v>68</v>
      </c>
      <c r="G45" s="26" t="s">
        <v>1132</v>
      </c>
      <c r="H45" s="26" t="s">
        <v>800</v>
      </c>
      <c r="I45" s="26" t="s">
        <v>1133</v>
      </c>
      <c r="J45" s="26" t="s">
        <v>1034</v>
      </c>
      <c r="K45" s="26"/>
      <c r="L45" s="26"/>
      <c r="M45" s="26" t="s">
        <v>686</v>
      </c>
      <c r="N45" s="25" t="s">
        <v>100</v>
      </c>
      <c r="O45" s="25" t="s">
        <v>102</v>
      </c>
      <c r="P45" s="25" t="s">
        <v>136</v>
      </c>
      <c r="Q45" s="25"/>
    </row>
    <row r="46" spans="1:17" ht="165" x14ac:dyDescent="0.25">
      <c r="A46" s="25">
        <v>45</v>
      </c>
      <c r="B46" s="25" t="s">
        <v>687</v>
      </c>
      <c r="C46" s="25" t="s">
        <v>51</v>
      </c>
      <c r="D46" s="25" t="s">
        <v>19</v>
      </c>
      <c r="E46" s="25" t="s">
        <v>49</v>
      </c>
      <c r="F46" s="25" t="s">
        <v>68</v>
      </c>
      <c r="G46" s="26" t="s">
        <v>1134</v>
      </c>
      <c r="H46" s="26" t="s">
        <v>802</v>
      </c>
      <c r="I46" s="26" t="s">
        <v>1135</v>
      </c>
      <c r="J46" s="26" t="s">
        <v>1035</v>
      </c>
      <c r="K46" s="26"/>
      <c r="L46" s="26"/>
      <c r="M46" s="26" t="s">
        <v>680</v>
      </c>
      <c r="N46" s="25" t="s">
        <v>100</v>
      </c>
      <c r="O46" s="25" t="s">
        <v>102</v>
      </c>
      <c r="P46" s="25" t="s">
        <v>137</v>
      </c>
      <c r="Q46" s="25"/>
    </row>
    <row r="47" spans="1:17" ht="180" x14ac:dyDescent="0.25">
      <c r="A47" s="25">
        <v>46</v>
      </c>
      <c r="B47" s="25" t="s">
        <v>688</v>
      </c>
      <c r="C47" s="25" t="s">
        <v>51</v>
      </c>
      <c r="D47" s="25" t="s">
        <v>19</v>
      </c>
      <c r="E47" s="25" t="s">
        <v>49</v>
      </c>
      <c r="F47" s="25" t="s">
        <v>68</v>
      </c>
      <c r="G47" s="26" t="s">
        <v>1136</v>
      </c>
      <c r="H47" s="26" t="s">
        <v>804</v>
      </c>
      <c r="I47" s="26" t="s">
        <v>1137</v>
      </c>
      <c r="J47" s="26" t="s">
        <v>1036</v>
      </c>
      <c r="K47" s="26"/>
      <c r="L47" s="26"/>
      <c r="M47" s="26" t="s">
        <v>689</v>
      </c>
      <c r="N47" s="25" t="s">
        <v>100</v>
      </c>
      <c r="O47" s="25" t="s">
        <v>102</v>
      </c>
      <c r="P47" s="25" t="s">
        <v>137</v>
      </c>
      <c r="Q47" s="25"/>
    </row>
    <row r="48" spans="1:17" ht="180" x14ac:dyDescent="0.25">
      <c r="A48" s="25">
        <v>47</v>
      </c>
      <c r="B48" s="25" t="s">
        <v>690</v>
      </c>
      <c r="C48" s="25" t="s">
        <v>24</v>
      </c>
      <c r="D48" s="25" t="s">
        <v>19</v>
      </c>
      <c r="E48" s="25" t="s">
        <v>49</v>
      </c>
      <c r="F48" s="25" t="s">
        <v>68</v>
      </c>
      <c r="G48" s="26" t="s">
        <v>1138</v>
      </c>
      <c r="H48" s="26" t="s">
        <v>806</v>
      </c>
      <c r="I48" s="26" t="s">
        <v>1139</v>
      </c>
      <c r="J48" s="26" t="s">
        <v>1037</v>
      </c>
      <c r="K48" s="26"/>
      <c r="L48" s="26"/>
      <c r="M48" s="26" t="s">
        <v>684</v>
      </c>
      <c r="N48" s="25" t="s">
        <v>100</v>
      </c>
      <c r="O48" s="25" t="s">
        <v>102</v>
      </c>
      <c r="P48" s="25" t="s">
        <v>138</v>
      </c>
      <c r="Q48" s="25"/>
    </row>
    <row r="49" spans="1:17" ht="165" x14ac:dyDescent="0.25">
      <c r="A49" s="25">
        <v>48</v>
      </c>
      <c r="B49" s="25" t="s">
        <v>691</v>
      </c>
      <c r="C49" s="25" t="s">
        <v>24</v>
      </c>
      <c r="D49" s="25" t="s">
        <v>19</v>
      </c>
      <c r="E49" s="25" t="s">
        <v>49</v>
      </c>
      <c r="F49" s="25" t="s">
        <v>68</v>
      </c>
      <c r="G49" s="26" t="s">
        <v>1140</v>
      </c>
      <c r="H49" s="26" t="s">
        <v>808</v>
      </c>
      <c r="I49" s="26" t="s">
        <v>1141</v>
      </c>
      <c r="J49" s="26" t="s">
        <v>1038</v>
      </c>
      <c r="K49" s="26"/>
      <c r="L49" s="26"/>
      <c r="M49" s="26" t="s">
        <v>692</v>
      </c>
      <c r="N49" s="25" t="s">
        <v>100</v>
      </c>
      <c r="O49" s="25" t="s">
        <v>102</v>
      </c>
      <c r="P49" s="25" t="s">
        <v>138</v>
      </c>
      <c r="Q49" s="25"/>
    </row>
    <row r="50" spans="1:17" ht="180" x14ac:dyDescent="0.25">
      <c r="A50" s="25">
        <v>49</v>
      </c>
      <c r="B50" s="25" t="s">
        <v>693</v>
      </c>
      <c r="C50" s="25" t="s">
        <v>28</v>
      </c>
      <c r="D50" s="25" t="s">
        <v>19</v>
      </c>
      <c r="E50" s="25" t="s">
        <v>49</v>
      </c>
      <c r="F50" s="25" t="s">
        <v>68</v>
      </c>
      <c r="G50" s="26" t="s">
        <v>1142</v>
      </c>
      <c r="H50" s="26" t="s">
        <v>810</v>
      </c>
      <c r="I50" s="26" t="s">
        <v>1143</v>
      </c>
      <c r="J50" s="26" t="s">
        <v>1039</v>
      </c>
      <c r="K50" s="26"/>
      <c r="L50" s="26"/>
      <c r="M50" s="26" t="s">
        <v>694</v>
      </c>
      <c r="N50" s="25" t="s">
        <v>100</v>
      </c>
      <c r="O50" s="25" t="s">
        <v>102</v>
      </c>
      <c r="P50" s="25" t="s">
        <v>139</v>
      </c>
      <c r="Q50" s="25"/>
    </row>
    <row r="51" spans="1:17" ht="165" x14ac:dyDescent="0.25">
      <c r="A51" s="25">
        <v>50</v>
      </c>
      <c r="B51" s="25" t="s">
        <v>695</v>
      </c>
      <c r="C51" s="25" t="s">
        <v>28</v>
      </c>
      <c r="D51" s="25" t="s">
        <v>19</v>
      </c>
      <c r="E51" s="25" t="s">
        <v>49</v>
      </c>
      <c r="F51" s="25" t="s">
        <v>68</v>
      </c>
      <c r="G51" s="26" t="s">
        <v>1144</v>
      </c>
      <c r="H51" s="26" t="s">
        <v>812</v>
      </c>
      <c r="I51" s="26" t="s">
        <v>1145</v>
      </c>
      <c r="J51" s="26" t="s">
        <v>1040</v>
      </c>
      <c r="K51" s="26"/>
      <c r="L51" s="26"/>
      <c r="M51" s="26" t="s">
        <v>696</v>
      </c>
      <c r="N51" s="25" t="s">
        <v>100</v>
      </c>
      <c r="O51" s="25" t="s">
        <v>102</v>
      </c>
      <c r="P51" s="25" t="s">
        <v>139</v>
      </c>
      <c r="Q51" s="25"/>
    </row>
    <row r="52" spans="1:17" ht="165" x14ac:dyDescent="0.25">
      <c r="A52" s="25">
        <v>51</v>
      </c>
      <c r="B52" s="25" t="s">
        <v>697</v>
      </c>
      <c r="C52" s="25" t="s">
        <v>27</v>
      </c>
      <c r="D52" s="25" t="s">
        <v>19</v>
      </c>
      <c r="E52" s="25" t="s">
        <v>49</v>
      </c>
      <c r="F52" s="25" t="s">
        <v>68</v>
      </c>
      <c r="G52" s="26" t="s">
        <v>1146</v>
      </c>
      <c r="H52" s="26" t="s">
        <v>814</v>
      </c>
      <c r="I52" s="26" t="s">
        <v>1147</v>
      </c>
      <c r="J52" s="26" t="s">
        <v>1041</v>
      </c>
      <c r="K52" s="26"/>
      <c r="L52" s="26"/>
      <c r="M52" s="26" t="s">
        <v>680</v>
      </c>
      <c r="N52" s="25" t="s">
        <v>100</v>
      </c>
      <c r="O52" s="25" t="s">
        <v>102</v>
      </c>
      <c r="P52" s="25" t="s">
        <v>140</v>
      </c>
      <c r="Q52" s="25"/>
    </row>
    <row r="53" spans="1:17" ht="165" x14ac:dyDescent="0.25">
      <c r="A53" s="25">
        <v>52</v>
      </c>
      <c r="B53" s="25" t="s">
        <v>698</v>
      </c>
      <c r="C53" s="25" t="s">
        <v>27</v>
      </c>
      <c r="D53" s="25" t="s">
        <v>19</v>
      </c>
      <c r="E53" s="25" t="s">
        <v>49</v>
      </c>
      <c r="F53" s="25" t="s">
        <v>68</v>
      </c>
      <c r="G53" s="26" t="s">
        <v>1148</v>
      </c>
      <c r="H53" s="26" t="s">
        <v>816</v>
      </c>
      <c r="I53" s="26" t="s">
        <v>1149</v>
      </c>
      <c r="J53" s="26" t="s">
        <v>1042</v>
      </c>
      <c r="K53" s="26"/>
      <c r="L53" s="26"/>
      <c r="M53" s="26" t="s">
        <v>699</v>
      </c>
      <c r="N53" s="25" t="s">
        <v>100</v>
      </c>
      <c r="O53" s="25" t="s">
        <v>102</v>
      </c>
      <c r="P53" s="25" t="s">
        <v>140</v>
      </c>
      <c r="Q53" s="25"/>
    </row>
    <row r="54" spans="1:17" ht="180" x14ac:dyDescent="0.25">
      <c r="A54" s="25">
        <v>53</v>
      </c>
      <c r="B54" s="25" t="s">
        <v>700</v>
      </c>
      <c r="C54" s="25" t="s">
        <v>29</v>
      </c>
      <c r="D54" s="25" t="s">
        <v>19</v>
      </c>
      <c r="E54" s="25" t="s">
        <v>49</v>
      </c>
      <c r="F54" s="25" t="s">
        <v>68</v>
      </c>
      <c r="G54" s="26" t="s">
        <v>1150</v>
      </c>
      <c r="H54" s="26" t="s">
        <v>818</v>
      </c>
      <c r="I54" s="26" t="s">
        <v>1151</v>
      </c>
      <c r="J54" s="26" t="s">
        <v>1043</v>
      </c>
      <c r="K54" s="26"/>
      <c r="L54" s="26"/>
      <c r="M54" s="26" t="s">
        <v>701</v>
      </c>
      <c r="N54" s="25" t="s">
        <v>100</v>
      </c>
      <c r="O54" s="25" t="s">
        <v>102</v>
      </c>
      <c r="P54" s="25" t="s">
        <v>141</v>
      </c>
      <c r="Q54" s="25"/>
    </row>
    <row r="55" spans="1:17" ht="165" x14ac:dyDescent="0.25">
      <c r="A55" s="25">
        <v>54</v>
      </c>
      <c r="B55" s="25" t="s">
        <v>702</v>
      </c>
      <c r="C55" s="25" t="s">
        <v>29</v>
      </c>
      <c r="D55" s="25" t="s">
        <v>19</v>
      </c>
      <c r="E55" s="25" t="s">
        <v>49</v>
      </c>
      <c r="F55" s="25" t="s">
        <v>68</v>
      </c>
      <c r="G55" s="26" t="s">
        <v>1152</v>
      </c>
      <c r="H55" s="26" t="s">
        <v>820</v>
      </c>
      <c r="I55" s="26" t="s">
        <v>1153</v>
      </c>
      <c r="J55" s="26" t="s">
        <v>1044</v>
      </c>
      <c r="K55" s="26"/>
      <c r="L55" s="26"/>
      <c r="M55" s="26" t="s">
        <v>703</v>
      </c>
      <c r="N55" s="25" t="s">
        <v>100</v>
      </c>
      <c r="O55" s="25" t="s">
        <v>102</v>
      </c>
      <c r="P55" s="25" t="s">
        <v>141</v>
      </c>
      <c r="Q55" s="25"/>
    </row>
    <row r="56" spans="1:17" ht="180" x14ac:dyDescent="0.25">
      <c r="A56" s="25">
        <v>55</v>
      </c>
      <c r="B56" s="25" t="s">
        <v>704</v>
      </c>
      <c r="C56" s="25" t="s">
        <v>26</v>
      </c>
      <c r="D56" s="25" t="s">
        <v>19</v>
      </c>
      <c r="E56" s="25" t="s">
        <v>49</v>
      </c>
      <c r="F56" s="25" t="s">
        <v>68</v>
      </c>
      <c r="G56" s="26" t="s">
        <v>1154</v>
      </c>
      <c r="H56" s="26" t="s">
        <v>822</v>
      </c>
      <c r="I56" s="26" t="s">
        <v>1155</v>
      </c>
      <c r="J56" s="26" t="s">
        <v>1045</v>
      </c>
      <c r="K56" s="26"/>
      <c r="L56" s="26"/>
      <c r="M56" s="26" t="s">
        <v>705</v>
      </c>
      <c r="N56" s="25" t="s">
        <v>100</v>
      </c>
      <c r="O56" s="25" t="s">
        <v>102</v>
      </c>
      <c r="P56" s="25" t="s">
        <v>142</v>
      </c>
      <c r="Q56" s="25"/>
    </row>
    <row r="57" spans="1:17" ht="165" x14ac:dyDescent="0.25">
      <c r="A57" s="25">
        <v>56</v>
      </c>
      <c r="B57" s="25" t="s">
        <v>706</v>
      </c>
      <c r="C57" s="25" t="s">
        <v>26</v>
      </c>
      <c r="D57" s="25" t="s">
        <v>19</v>
      </c>
      <c r="E57" s="25" t="s">
        <v>49</v>
      </c>
      <c r="F57" s="25" t="s">
        <v>68</v>
      </c>
      <c r="G57" s="26" t="s">
        <v>1156</v>
      </c>
      <c r="H57" s="26" t="s">
        <v>824</v>
      </c>
      <c r="I57" s="26" t="s">
        <v>1157</v>
      </c>
      <c r="J57" s="26" t="s">
        <v>1046</v>
      </c>
      <c r="K57" s="26"/>
      <c r="L57" s="26"/>
      <c r="M57" s="26" t="s">
        <v>707</v>
      </c>
      <c r="N57" s="25" t="s">
        <v>100</v>
      </c>
      <c r="O57" s="25" t="s">
        <v>102</v>
      </c>
      <c r="P57" s="25" t="s">
        <v>142</v>
      </c>
      <c r="Q57" s="25"/>
    </row>
    <row r="58" spans="1:17" ht="165" x14ac:dyDescent="0.25">
      <c r="A58" s="25">
        <v>57</v>
      </c>
      <c r="B58" s="25" t="s">
        <v>708</v>
      </c>
      <c r="C58" s="25" t="s">
        <v>40</v>
      </c>
      <c r="D58" s="25" t="s">
        <v>19</v>
      </c>
      <c r="E58" s="25" t="s">
        <v>49</v>
      </c>
      <c r="F58" s="25" t="s">
        <v>68</v>
      </c>
      <c r="G58" s="26" t="s">
        <v>1158</v>
      </c>
      <c r="H58" s="26" t="s">
        <v>826</v>
      </c>
      <c r="I58" s="26" t="s">
        <v>1159</v>
      </c>
      <c r="J58" s="26" t="s">
        <v>1047</v>
      </c>
      <c r="K58" s="26"/>
      <c r="L58" s="26"/>
      <c r="M58" s="26" t="s">
        <v>555</v>
      </c>
      <c r="N58" s="25" t="s">
        <v>100</v>
      </c>
      <c r="O58" s="25" t="s">
        <v>102</v>
      </c>
      <c r="P58" s="25" t="s">
        <v>143</v>
      </c>
      <c r="Q58" s="25"/>
    </row>
    <row r="59" spans="1:17" ht="165" x14ac:dyDescent="0.25">
      <c r="A59" s="25">
        <v>58</v>
      </c>
      <c r="B59" s="25" t="s">
        <v>709</v>
      </c>
      <c r="C59" s="25" t="s">
        <v>40</v>
      </c>
      <c r="D59" s="25" t="s">
        <v>19</v>
      </c>
      <c r="E59" s="25" t="s">
        <v>49</v>
      </c>
      <c r="F59" s="25" t="s">
        <v>68</v>
      </c>
      <c r="G59" s="26" t="s">
        <v>1160</v>
      </c>
      <c r="H59" s="26" t="s">
        <v>828</v>
      </c>
      <c r="I59" s="26" t="s">
        <v>1161</v>
      </c>
      <c r="J59" s="26" t="s">
        <v>1048</v>
      </c>
      <c r="K59" s="26"/>
      <c r="L59" s="26"/>
      <c r="M59" s="26" t="s">
        <v>710</v>
      </c>
      <c r="N59" s="25" t="s">
        <v>100</v>
      </c>
      <c r="O59" s="25" t="s">
        <v>102</v>
      </c>
      <c r="P59" s="25" t="s">
        <v>143</v>
      </c>
      <c r="Q59" s="25"/>
    </row>
    <row r="60" spans="1:17" ht="165" x14ac:dyDescent="0.25">
      <c r="A60" s="25">
        <v>59</v>
      </c>
      <c r="B60" s="25" t="s">
        <v>711</v>
      </c>
      <c r="C60" s="25" t="s">
        <v>39</v>
      </c>
      <c r="D60" s="25" t="s">
        <v>19</v>
      </c>
      <c r="E60" s="25" t="s">
        <v>49</v>
      </c>
      <c r="F60" s="25" t="s">
        <v>68</v>
      </c>
      <c r="G60" s="26" t="s">
        <v>1162</v>
      </c>
      <c r="H60" s="26" t="s">
        <v>830</v>
      </c>
      <c r="I60" s="26" t="s">
        <v>1163</v>
      </c>
      <c r="J60" s="26" t="s">
        <v>1049</v>
      </c>
      <c r="K60" s="26"/>
      <c r="L60" s="26"/>
      <c r="M60" s="26" t="s">
        <v>712</v>
      </c>
      <c r="N60" s="25" t="s">
        <v>100</v>
      </c>
      <c r="O60" s="25" t="s">
        <v>102</v>
      </c>
      <c r="P60" s="25" t="s">
        <v>144</v>
      </c>
      <c r="Q60" s="25"/>
    </row>
    <row r="61" spans="1:17" ht="165" x14ac:dyDescent="0.25">
      <c r="A61" s="25">
        <v>60</v>
      </c>
      <c r="B61" s="25" t="s">
        <v>713</v>
      </c>
      <c r="C61" s="25" t="s">
        <v>39</v>
      </c>
      <c r="D61" s="25" t="s">
        <v>19</v>
      </c>
      <c r="E61" s="25" t="s">
        <v>49</v>
      </c>
      <c r="F61" s="25" t="s">
        <v>68</v>
      </c>
      <c r="G61" s="26" t="s">
        <v>1164</v>
      </c>
      <c r="H61" s="26" t="s">
        <v>832</v>
      </c>
      <c r="I61" s="26" t="s">
        <v>1165</v>
      </c>
      <c r="J61" s="26" t="s">
        <v>1050</v>
      </c>
      <c r="K61" s="26"/>
      <c r="L61" s="26"/>
      <c r="M61" s="26" t="s">
        <v>714</v>
      </c>
      <c r="N61" s="25" t="s">
        <v>100</v>
      </c>
      <c r="O61" s="25" t="s">
        <v>102</v>
      </c>
      <c r="P61" s="25" t="s">
        <v>144</v>
      </c>
      <c r="Q61" s="25"/>
    </row>
    <row r="62" spans="1:17" ht="165" x14ac:dyDescent="0.25">
      <c r="A62" s="25">
        <v>61</v>
      </c>
      <c r="B62" s="25" t="s">
        <v>715</v>
      </c>
      <c r="C62" s="25" t="s">
        <v>37</v>
      </c>
      <c r="D62" s="25" t="s">
        <v>19</v>
      </c>
      <c r="E62" s="25" t="s">
        <v>49</v>
      </c>
      <c r="F62" s="25" t="s">
        <v>68</v>
      </c>
      <c r="G62" s="26" t="s">
        <v>1166</v>
      </c>
      <c r="H62" s="26" t="s">
        <v>834</v>
      </c>
      <c r="I62" s="26" t="s">
        <v>1167</v>
      </c>
      <c r="J62" s="26" t="s">
        <v>1051</v>
      </c>
      <c r="K62" s="26"/>
      <c r="L62" s="26"/>
      <c r="M62" s="26" t="s">
        <v>716</v>
      </c>
      <c r="N62" s="25" t="s">
        <v>100</v>
      </c>
      <c r="O62" s="25" t="s">
        <v>102</v>
      </c>
      <c r="P62" s="25" t="s">
        <v>145</v>
      </c>
      <c r="Q62" s="25"/>
    </row>
    <row r="63" spans="1:17" ht="165" x14ac:dyDescent="0.25">
      <c r="A63" s="25">
        <v>62</v>
      </c>
      <c r="B63" s="25" t="s">
        <v>717</v>
      </c>
      <c r="C63" s="25" t="s">
        <v>37</v>
      </c>
      <c r="D63" s="25" t="s">
        <v>19</v>
      </c>
      <c r="E63" s="25" t="s">
        <v>49</v>
      </c>
      <c r="F63" s="25" t="s">
        <v>68</v>
      </c>
      <c r="G63" s="26" t="s">
        <v>1168</v>
      </c>
      <c r="H63" s="26" t="s">
        <v>836</v>
      </c>
      <c r="I63" s="26" t="s">
        <v>1169</v>
      </c>
      <c r="J63" s="26" t="s">
        <v>1052</v>
      </c>
      <c r="K63" s="26"/>
      <c r="L63" s="26"/>
      <c r="M63" s="26" t="s">
        <v>718</v>
      </c>
      <c r="N63" s="25" t="s">
        <v>100</v>
      </c>
      <c r="O63" s="25" t="s">
        <v>102</v>
      </c>
      <c r="P63" s="25" t="s">
        <v>145</v>
      </c>
      <c r="Q63" s="25"/>
    </row>
    <row r="64" spans="1:17" ht="165" x14ac:dyDescent="0.25">
      <c r="A64" s="25">
        <v>63</v>
      </c>
      <c r="B64" s="25" t="s">
        <v>719</v>
      </c>
      <c r="C64" s="25" t="s">
        <v>38</v>
      </c>
      <c r="D64" s="25" t="s">
        <v>19</v>
      </c>
      <c r="E64" s="25" t="s">
        <v>49</v>
      </c>
      <c r="F64" s="25" t="s">
        <v>68</v>
      </c>
      <c r="G64" s="26" t="s">
        <v>1170</v>
      </c>
      <c r="H64" s="26" t="s">
        <v>838</v>
      </c>
      <c r="I64" s="26" t="s">
        <v>1171</v>
      </c>
      <c r="J64" s="26" t="s">
        <v>1053</v>
      </c>
      <c r="K64" s="26"/>
      <c r="L64" s="26"/>
      <c r="M64" s="26" t="s">
        <v>720</v>
      </c>
      <c r="N64" s="25" t="s">
        <v>100</v>
      </c>
      <c r="O64" s="25" t="s">
        <v>102</v>
      </c>
      <c r="P64" s="25" t="s">
        <v>146</v>
      </c>
      <c r="Q64" s="25"/>
    </row>
    <row r="65" spans="1:17" ht="165" x14ac:dyDescent="0.25">
      <c r="A65" s="25">
        <v>64</v>
      </c>
      <c r="B65" s="25" t="s">
        <v>721</v>
      </c>
      <c r="C65" s="25" t="s">
        <v>38</v>
      </c>
      <c r="D65" s="25" t="s">
        <v>19</v>
      </c>
      <c r="E65" s="25" t="s">
        <v>49</v>
      </c>
      <c r="F65" s="25" t="s">
        <v>68</v>
      </c>
      <c r="G65" s="26" t="s">
        <v>1172</v>
      </c>
      <c r="H65" s="26" t="s">
        <v>840</v>
      </c>
      <c r="I65" s="26" t="s">
        <v>1173</v>
      </c>
      <c r="J65" s="26" t="s">
        <v>1054</v>
      </c>
      <c r="K65" s="26"/>
      <c r="L65" s="26"/>
      <c r="M65" s="26" t="s">
        <v>722</v>
      </c>
      <c r="N65" s="25" t="s">
        <v>100</v>
      </c>
      <c r="O65" s="25" t="s">
        <v>102</v>
      </c>
      <c r="P65" s="25" t="s">
        <v>146</v>
      </c>
      <c r="Q65" s="25"/>
    </row>
    <row r="66" spans="1:17" ht="165" x14ac:dyDescent="0.25">
      <c r="A66" s="25">
        <v>65</v>
      </c>
      <c r="B66" s="25" t="s">
        <v>723</v>
      </c>
      <c r="C66" s="25" t="s">
        <v>36</v>
      </c>
      <c r="D66" s="25" t="s">
        <v>19</v>
      </c>
      <c r="E66" s="25" t="s">
        <v>49</v>
      </c>
      <c r="F66" s="25" t="s">
        <v>68</v>
      </c>
      <c r="G66" s="26" t="s">
        <v>1174</v>
      </c>
      <c r="H66" s="26" t="s">
        <v>842</v>
      </c>
      <c r="I66" s="26" t="s">
        <v>1175</v>
      </c>
      <c r="J66" s="26" t="s">
        <v>1055</v>
      </c>
      <c r="K66" s="26"/>
      <c r="L66" s="26"/>
      <c r="M66" s="26" t="s">
        <v>724</v>
      </c>
      <c r="N66" s="25" t="s">
        <v>100</v>
      </c>
      <c r="O66" s="25" t="s">
        <v>102</v>
      </c>
      <c r="P66" s="25" t="s">
        <v>147</v>
      </c>
      <c r="Q66" s="25"/>
    </row>
    <row r="67" spans="1:17" ht="165" x14ac:dyDescent="0.25">
      <c r="A67" s="25">
        <v>66</v>
      </c>
      <c r="B67" s="25" t="s">
        <v>725</v>
      </c>
      <c r="C67" s="25" t="s">
        <v>36</v>
      </c>
      <c r="D67" s="25" t="s">
        <v>19</v>
      </c>
      <c r="E67" s="25" t="s">
        <v>49</v>
      </c>
      <c r="F67" s="25" t="s">
        <v>68</v>
      </c>
      <c r="G67" s="26" t="s">
        <v>1176</v>
      </c>
      <c r="H67" s="26" t="s">
        <v>844</v>
      </c>
      <c r="I67" s="26" t="s">
        <v>1177</v>
      </c>
      <c r="J67" s="26" t="s">
        <v>1056</v>
      </c>
      <c r="K67" s="26"/>
      <c r="L67" s="26"/>
      <c r="M67" s="26" t="s">
        <v>726</v>
      </c>
      <c r="N67" s="25" t="s">
        <v>100</v>
      </c>
      <c r="O67" s="25" t="s">
        <v>102</v>
      </c>
      <c r="P67" s="25" t="s">
        <v>147</v>
      </c>
      <c r="Q67" s="25"/>
    </row>
    <row r="68" spans="1:17" ht="165" x14ac:dyDescent="0.25">
      <c r="A68" s="25">
        <v>67</v>
      </c>
      <c r="B68" s="25" t="s">
        <v>727</v>
      </c>
      <c r="C68" s="25" t="s">
        <v>35</v>
      </c>
      <c r="D68" s="25" t="s">
        <v>19</v>
      </c>
      <c r="E68" s="25" t="s">
        <v>49</v>
      </c>
      <c r="F68" s="25" t="s">
        <v>68</v>
      </c>
      <c r="G68" s="26" t="s">
        <v>1178</v>
      </c>
      <c r="H68" s="26" t="s">
        <v>846</v>
      </c>
      <c r="I68" s="26" t="s">
        <v>1179</v>
      </c>
      <c r="J68" s="26" t="s">
        <v>1057</v>
      </c>
      <c r="K68" s="26"/>
      <c r="L68" s="26"/>
      <c r="M68" s="26" t="s">
        <v>707</v>
      </c>
      <c r="N68" s="25" t="s">
        <v>100</v>
      </c>
      <c r="O68" s="25" t="s">
        <v>102</v>
      </c>
      <c r="P68" s="25" t="s">
        <v>148</v>
      </c>
      <c r="Q68" s="25"/>
    </row>
    <row r="69" spans="1:17" ht="165" x14ac:dyDescent="0.25">
      <c r="A69" s="25">
        <v>68</v>
      </c>
      <c r="B69" s="25" t="s">
        <v>728</v>
      </c>
      <c r="C69" s="25" t="s">
        <v>35</v>
      </c>
      <c r="D69" s="25" t="s">
        <v>19</v>
      </c>
      <c r="E69" s="25" t="s">
        <v>49</v>
      </c>
      <c r="F69" s="25" t="s">
        <v>68</v>
      </c>
      <c r="G69" s="26" t="s">
        <v>1180</v>
      </c>
      <c r="H69" s="26" t="s">
        <v>848</v>
      </c>
      <c r="I69" s="26" t="s">
        <v>1181</v>
      </c>
      <c r="J69" s="26" t="s">
        <v>1058</v>
      </c>
      <c r="K69" s="26"/>
      <c r="L69" s="26"/>
      <c r="M69" s="26" t="s">
        <v>729</v>
      </c>
      <c r="N69" s="25" t="s">
        <v>100</v>
      </c>
      <c r="O69" s="25" t="s">
        <v>102</v>
      </c>
      <c r="P69" s="25" t="s">
        <v>148</v>
      </c>
      <c r="Q69" s="25"/>
    </row>
    <row r="70" spans="1:17" ht="300" x14ac:dyDescent="0.25">
      <c r="A70" s="25">
        <v>69</v>
      </c>
      <c r="B70" s="25" t="s">
        <v>626</v>
      </c>
      <c r="C70" s="25" t="s">
        <v>42</v>
      </c>
      <c r="D70" s="25" t="s">
        <v>41</v>
      </c>
      <c r="E70" s="25" t="s">
        <v>50</v>
      </c>
      <c r="F70" s="25" t="s">
        <v>69</v>
      </c>
      <c r="G70" s="26" t="s">
        <v>1182</v>
      </c>
      <c r="H70" s="26" t="s">
        <v>850</v>
      </c>
      <c r="I70" s="26" t="s">
        <v>1183</v>
      </c>
      <c r="J70" s="26" t="s">
        <v>1059</v>
      </c>
      <c r="K70" s="26"/>
      <c r="L70" s="26"/>
      <c r="M70" s="26" t="s">
        <v>643</v>
      </c>
      <c r="N70" s="25" t="s">
        <v>101</v>
      </c>
      <c r="O70" s="25" t="s">
        <v>102</v>
      </c>
      <c r="P70" s="25" t="s">
        <v>149</v>
      </c>
      <c r="Q70" s="2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0"/>
  <sheetViews>
    <sheetView workbookViewId="0">
      <pane xSplit="3" ySplit="1" topLeftCell="I69" activePane="bottomRight" state="frozen"/>
      <selection pane="topRight" activeCell="D1" sqref="D1"/>
      <selection pane="bottomLeft" activeCell="A2" sqref="A2"/>
      <selection pane="bottomRight" activeCell="C70" sqref="A1:Q70"/>
    </sheetView>
  </sheetViews>
  <sheetFormatPr baseColWidth="10" defaultRowHeight="15" x14ac:dyDescent="0.25"/>
  <cols>
    <col min="1" max="1" width="5.7109375" style="24" bestFit="1" customWidth="1"/>
    <col min="2" max="2" width="29" style="24" customWidth="1"/>
    <col min="3" max="3" width="37.140625" style="24" bestFit="1" customWidth="1"/>
    <col min="4" max="6" width="20.28515625" style="24" customWidth="1"/>
    <col min="7" max="7" width="48.7109375" style="23" customWidth="1"/>
    <col min="8" max="8" width="34.5703125" style="23" customWidth="1"/>
    <col min="9" max="9" width="52" style="23" customWidth="1"/>
    <col min="10" max="10" width="44.7109375" style="23" customWidth="1"/>
    <col min="11" max="11" width="38" style="23" customWidth="1"/>
    <col min="12" max="12" width="40.42578125" style="23" customWidth="1"/>
    <col min="13" max="13" width="43" style="23" customWidth="1"/>
    <col min="14" max="14" width="15.5703125" style="24" customWidth="1"/>
    <col min="15" max="15" width="11.42578125" style="24"/>
    <col min="16" max="16" width="15" style="24" customWidth="1"/>
    <col min="17" max="16384" width="11.42578125" style="24"/>
  </cols>
  <sheetData>
    <row r="1" spans="1:17" ht="30" x14ac:dyDescent="0.25">
      <c r="A1" s="25" t="s">
        <v>64</v>
      </c>
      <c r="B1" s="25" t="s">
        <v>52</v>
      </c>
      <c r="C1" s="25" t="s">
        <v>43</v>
      </c>
      <c r="D1" s="25" t="s">
        <v>65</v>
      </c>
      <c r="E1" s="25" t="s">
        <v>47</v>
      </c>
      <c r="F1" s="25" t="s">
        <v>66</v>
      </c>
      <c r="G1" s="26" t="s">
        <v>45</v>
      </c>
      <c r="H1" s="26" t="s">
        <v>85</v>
      </c>
      <c r="I1" s="26" t="s">
        <v>1188</v>
      </c>
      <c r="J1" s="26" t="s">
        <v>1189</v>
      </c>
      <c r="K1" s="26" t="s">
        <v>46</v>
      </c>
      <c r="L1" s="26" t="s">
        <v>95</v>
      </c>
      <c r="M1" s="26" t="s">
        <v>44</v>
      </c>
      <c r="N1" s="25" t="s">
        <v>97</v>
      </c>
      <c r="O1" s="25" t="s">
        <v>98</v>
      </c>
      <c r="P1" s="25" t="s">
        <v>96</v>
      </c>
      <c r="Q1" s="25"/>
    </row>
    <row r="2" spans="1:17" ht="165" x14ac:dyDescent="0.25">
      <c r="A2" s="25">
        <v>1</v>
      </c>
      <c r="B2" s="25" t="s">
        <v>53</v>
      </c>
      <c r="C2" s="25" t="s">
        <v>16</v>
      </c>
      <c r="D2" s="25" t="s">
        <v>0</v>
      </c>
      <c r="E2" s="25" t="s">
        <v>48</v>
      </c>
      <c r="F2" s="25" t="s">
        <v>67</v>
      </c>
      <c r="G2" s="26" t="s">
        <v>61</v>
      </c>
      <c r="H2" s="26" t="s">
        <v>84</v>
      </c>
      <c r="I2" s="26" t="s">
        <v>1185</v>
      </c>
      <c r="J2" s="26" t="s">
        <v>859</v>
      </c>
      <c r="K2" s="26"/>
      <c r="L2" s="26"/>
      <c r="M2" s="26" t="s">
        <v>644</v>
      </c>
      <c r="N2" s="25" t="s">
        <v>99</v>
      </c>
      <c r="O2" s="25" t="s">
        <v>102</v>
      </c>
      <c r="P2" s="25" t="s">
        <v>103</v>
      </c>
      <c r="Q2" s="25"/>
    </row>
    <row r="3" spans="1:17" ht="150" x14ac:dyDescent="0.25">
      <c r="A3" s="25">
        <v>2</v>
      </c>
      <c r="B3" s="25" t="s">
        <v>62</v>
      </c>
      <c r="C3" s="25" t="s">
        <v>60</v>
      </c>
      <c r="D3" s="25" t="s">
        <v>0</v>
      </c>
      <c r="E3" s="25" t="s">
        <v>48</v>
      </c>
      <c r="F3" s="25" t="s">
        <v>67</v>
      </c>
      <c r="G3" s="26" t="s">
        <v>63</v>
      </c>
      <c r="H3" s="26" t="s">
        <v>84</v>
      </c>
      <c r="I3" s="26" t="s">
        <v>1184</v>
      </c>
      <c r="J3" s="26" t="s">
        <v>860</v>
      </c>
      <c r="K3" s="26"/>
      <c r="L3" s="26"/>
      <c r="M3" s="26"/>
      <c r="N3" s="25" t="s">
        <v>99</v>
      </c>
      <c r="O3" s="25" t="s">
        <v>102</v>
      </c>
      <c r="P3" s="25" t="s">
        <v>104</v>
      </c>
      <c r="Q3" s="25"/>
    </row>
    <row r="4" spans="1:17" ht="409.5" x14ac:dyDescent="0.25">
      <c r="A4" s="25">
        <v>3</v>
      </c>
      <c r="B4" s="25" t="s">
        <v>70</v>
      </c>
      <c r="C4" s="25" t="s">
        <v>1</v>
      </c>
      <c r="D4" s="25" t="s">
        <v>0</v>
      </c>
      <c r="E4" s="25" t="s">
        <v>48</v>
      </c>
      <c r="F4" s="25" t="s">
        <v>67</v>
      </c>
      <c r="G4" s="26" t="s">
        <v>1062</v>
      </c>
      <c r="H4" s="26" t="s">
        <v>86</v>
      </c>
      <c r="I4" s="26" t="s">
        <v>1063</v>
      </c>
      <c r="J4" s="26" t="s">
        <v>993</v>
      </c>
      <c r="K4" s="26"/>
      <c r="L4" s="26" t="s">
        <v>1064</v>
      </c>
      <c r="M4" s="26" t="s">
        <v>730</v>
      </c>
      <c r="N4" s="25"/>
      <c r="O4" s="25" t="s">
        <v>99</v>
      </c>
      <c r="P4" s="25" t="s">
        <v>102</v>
      </c>
      <c r="Q4" s="25" t="s">
        <v>105</v>
      </c>
    </row>
    <row r="5" spans="1:17" ht="165" x14ac:dyDescent="0.25">
      <c r="A5" s="25">
        <v>4</v>
      </c>
      <c r="B5" s="25" t="s">
        <v>71</v>
      </c>
      <c r="C5" s="25" t="s">
        <v>4</v>
      </c>
      <c r="D5" s="25" t="s">
        <v>0</v>
      </c>
      <c r="E5" s="25" t="s">
        <v>48</v>
      </c>
      <c r="F5" s="25" t="s">
        <v>67</v>
      </c>
      <c r="G5" s="26" t="s">
        <v>76</v>
      </c>
      <c r="H5" s="26"/>
      <c r="I5" s="26" t="s">
        <v>926</v>
      </c>
      <c r="J5" s="26" t="s">
        <v>861</v>
      </c>
      <c r="K5" s="26"/>
      <c r="L5" s="26"/>
      <c r="M5" s="26" t="s">
        <v>74</v>
      </c>
      <c r="N5" s="25" t="s">
        <v>99</v>
      </c>
      <c r="O5" s="25" t="s">
        <v>102</v>
      </c>
      <c r="P5" s="25" t="s">
        <v>106</v>
      </c>
      <c r="Q5" s="25"/>
    </row>
    <row r="6" spans="1:17" ht="90" x14ac:dyDescent="0.25">
      <c r="A6" s="25">
        <v>5</v>
      </c>
      <c r="B6" s="25" t="s">
        <v>75</v>
      </c>
      <c r="C6" s="25" t="s">
        <v>57</v>
      </c>
      <c r="D6" s="25" t="s">
        <v>0</v>
      </c>
      <c r="E6" s="25" t="s">
        <v>48</v>
      </c>
      <c r="F6" s="25" t="s">
        <v>67</v>
      </c>
      <c r="G6" s="26" t="s">
        <v>645</v>
      </c>
      <c r="H6" s="26"/>
      <c r="I6" s="26" t="s">
        <v>927</v>
      </c>
      <c r="J6" s="26" t="s">
        <v>862</v>
      </c>
      <c r="K6" s="26"/>
      <c r="L6" s="26"/>
      <c r="M6" s="26"/>
      <c r="N6" s="25" t="s">
        <v>99</v>
      </c>
      <c r="O6" s="25" t="s">
        <v>102</v>
      </c>
      <c r="P6" s="25" t="s">
        <v>107</v>
      </c>
      <c r="Q6" s="25"/>
    </row>
    <row r="7" spans="1:17" ht="180" x14ac:dyDescent="0.25">
      <c r="A7" s="25">
        <v>6</v>
      </c>
      <c r="B7" s="25" t="s">
        <v>77</v>
      </c>
      <c r="C7" s="25" t="s">
        <v>56</v>
      </c>
      <c r="D7" s="25" t="s">
        <v>0</v>
      </c>
      <c r="E7" s="25" t="s">
        <v>48</v>
      </c>
      <c r="F7" s="25" t="s">
        <v>67</v>
      </c>
      <c r="G7" s="26" t="s">
        <v>646</v>
      </c>
      <c r="H7" s="26"/>
      <c r="I7" s="26" t="s">
        <v>928</v>
      </c>
      <c r="J7" s="26" t="s">
        <v>863</v>
      </c>
      <c r="K7" s="26"/>
      <c r="L7" s="26"/>
      <c r="M7" s="26" t="s">
        <v>81</v>
      </c>
      <c r="N7" s="25" t="s">
        <v>99</v>
      </c>
      <c r="O7" s="25" t="s">
        <v>102</v>
      </c>
      <c r="P7" s="25" t="s">
        <v>108</v>
      </c>
      <c r="Q7" s="25"/>
    </row>
    <row r="8" spans="1:17" ht="409.5" x14ac:dyDescent="0.25">
      <c r="A8" s="25">
        <v>7</v>
      </c>
      <c r="B8" s="25" t="s">
        <v>82</v>
      </c>
      <c r="C8" s="25" t="s">
        <v>55</v>
      </c>
      <c r="D8" s="25" t="s">
        <v>0</v>
      </c>
      <c r="E8" s="25" t="s">
        <v>48</v>
      </c>
      <c r="F8" s="25" t="s">
        <v>67</v>
      </c>
      <c r="G8" s="26" t="s">
        <v>1065</v>
      </c>
      <c r="H8" s="26" t="s">
        <v>88</v>
      </c>
      <c r="I8" s="26" t="s">
        <v>1066</v>
      </c>
      <c r="J8" s="26" t="s">
        <v>997</v>
      </c>
      <c r="K8" s="26" t="s">
        <v>90</v>
      </c>
      <c r="L8" s="26"/>
      <c r="M8" s="26"/>
      <c r="N8" s="25" t="s">
        <v>99</v>
      </c>
      <c r="O8" s="25" t="s">
        <v>102</v>
      </c>
      <c r="P8" s="25" t="s">
        <v>109</v>
      </c>
      <c r="Q8" s="25"/>
    </row>
    <row r="9" spans="1:17" ht="120" x14ac:dyDescent="0.25">
      <c r="A9" s="25">
        <v>8</v>
      </c>
      <c r="B9" s="25" t="s">
        <v>83</v>
      </c>
      <c r="C9" s="25" t="s">
        <v>59</v>
      </c>
      <c r="D9" s="25" t="s">
        <v>0</v>
      </c>
      <c r="E9" s="25" t="s">
        <v>48</v>
      </c>
      <c r="F9" s="25" t="s">
        <v>67</v>
      </c>
      <c r="G9" s="26" t="s">
        <v>93</v>
      </c>
      <c r="H9" s="26" t="s">
        <v>87</v>
      </c>
      <c r="I9" s="26" t="s">
        <v>929</v>
      </c>
      <c r="J9" s="26" t="s">
        <v>864</v>
      </c>
      <c r="K9" s="26"/>
      <c r="L9" s="26"/>
      <c r="M9" s="26"/>
      <c r="N9" s="25" t="s">
        <v>99</v>
      </c>
      <c r="O9" s="25" t="s">
        <v>102</v>
      </c>
      <c r="P9" s="25" t="s">
        <v>110</v>
      </c>
      <c r="Q9" s="25"/>
    </row>
    <row r="10" spans="1:17" ht="105" x14ac:dyDescent="0.25">
      <c r="A10" s="25">
        <v>9</v>
      </c>
      <c r="B10" s="25" t="s">
        <v>91</v>
      </c>
      <c r="C10" s="25" t="s">
        <v>58</v>
      </c>
      <c r="D10" s="25" t="s">
        <v>0</v>
      </c>
      <c r="E10" s="25" t="s">
        <v>48</v>
      </c>
      <c r="F10" s="25" t="s">
        <v>67</v>
      </c>
      <c r="G10" s="26" t="s">
        <v>94</v>
      </c>
      <c r="H10" s="26" t="s">
        <v>92</v>
      </c>
      <c r="I10" s="26" t="s">
        <v>930</v>
      </c>
      <c r="J10" s="26" t="s">
        <v>865</v>
      </c>
      <c r="K10" s="26"/>
      <c r="L10" s="26"/>
      <c r="M10" s="26"/>
      <c r="N10" s="25" t="s">
        <v>99</v>
      </c>
      <c r="O10" s="25" t="s">
        <v>102</v>
      </c>
      <c r="P10" s="25" t="s">
        <v>111</v>
      </c>
      <c r="Q10" s="25"/>
    </row>
    <row r="11" spans="1:17" ht="195" x14ac:dyDescent="0.25">
      <c r="A11" s="25">
        <v>10</v>
      </c>
      <c r="B11" s="25" t="s">
        <v>150</v>
      </c>
      <c r="C11" s="25" t="s">
        <v>18</v>
      </c>
      <c r="D11" s="25" t="s">
        <v>0</v>
      </c>
      <c r="E11" s="25" t="s">
        <v>48</v>
      </c>
      <c r="F11" s="25" t="s">
        <v>67</v>
      </c>
      <c r="G11" s="26" t="s">
        <v>1067</v>
      </c>
      <c r="H11" s="26" t="s">
        <v>732</v>
      </c>
      <c r="I11" s="26" t="s">
        <v>931</v>
      </c>
      <c r="J11" s="26" t="s">
        <v>866</v>
      </c>
      <c r="K11" s="26"/>
      <c r="L11" s="26"/>
      <c r="M11" s="26" t="s">
        <v>160</v>
      </c>
      <c r="N11" s="25" t="s">
        <v>99</v>
      </c>
      <c r="O11" s="25" t="s">
        <v>102</v>
      </c>
      <c r="P11" s="25" t="s">
        <v>112</v>
      </c>
      <c r="Q11" s="25"/>
    </row>
    <row r="12" spans="1:17" ht="225" x14ac:dyDescent="0.25">
      <c r="A12" s="25">
        <v>11</v>
      </c>
      <c r="B12" s="25" t="s">
        <v>161</v>
      </c>
      <c r="C12" s="25" t="s">
        <v>3</v>
      </c>
      <c r="D12" s="25" t="s">
        <v>0</v>
      </c>
      <c r="E12" s="25" t="s">
        <v>48</v>
      </c>
      <c r="F12" s="25" t="s">
        <v>67</v>
      </c>
      <c r="G12" s="26" t="s">
        <v>1069</v>
      </c>
      <c r="H12" s="26" t="s">
        <v>734</v>
      </c>
      <c r="I12" s="26" t="s">
        <v>932</v>
      </c>
      <c r="J12" s="26" t="s">
        <v>867</v>
      </c>
      <c r="K12" s="26"/>
      <c r="L12" s="26"/>
      <c r="M12" s="26"/>
      <c r="N12" s="25" t="s">
        <v>99</v>
      </c>
      <c r="O12" s="25" t="s">
        <v>102</v>
      </c>
      <c r="P12" s="25" t="s">
        <v>113</v>
      </c>
      <c r="Q12" s="25"/>
    </row>
    <row r="13" spans="1:17" ht="180" x14ac:dyDescent="0.25">
      <c r="A13" s="25">
        <v>12</v>
      </c>
      <c r="B13" s="25" t="s">
        <v>174</v>
      </c>
      <c r="C13" s="25" t="s">
        <v>2</v>
      </c>
      <c r="D13" s="25" t="s">
        <v>0</v>
      </c>
      <c r="E13" s="25" t="s">
        <v>48</v>
      </c>
      <c r="F13" s="25" t="s">
        <v>67</v>
      </c>
      <c r="G13" s="26" t="s">
        <v>1071</v>
      </c>
      <c r="H13" s="26" t="s">
        <v>736</v>
      </c>
      <c r="I13" s="26" t="s">
        <v>933</v>
      </c>
      <c r="J13" s="26" t="s">
        <v>868</v>
      </c>
      <c r="K13" s="26"/>
      <c r="L13" s="26"/>
      <c r="M13" s="26"/>
      <c r="N13" s="25" t="s">
        <v>99</v>
      </c>
      <c r="O13" s="25" t="s">
        <v>102</v>
      </c>
      <c r="P13" s="25" t="s">
        <v>114</v>
      </c>
      <c r="Q13" s="25"/>
    </row>
    <row r="14" spans="1:17" ht="195" x14ac:dyDescent="0.25">
      <c r="A14" s="25">
        <v>13</v>
      </c>
      <c r="B14" s="25" t="s">
        <v>187</v>
      </c>
      <c r="C14" s="25" t="s">
        <v>12</v>
      </c>
      <c r="D14" s="25" t="s">
        <v>0</v>
      </c>
      <c r="E14" s="25" t="s">
        <v>48</v>
      </c>
      <c r="F14" s="25" t="s">
        <v>67</v>
      </c>
      <c r="G14" s="26" t="s">
        <v>1073</v>
      </c>
      <c r="H14" s="26" t="s">
        <v>738</v>
      </c>
      <c r="I14" s="26" t="s">
        <v>934</v>
      </c>
      <c r="J14" s="26" t="s">
        <v>869</v>
      </c>
      <c r="K14" s="26"/>
      <c r="L14" s="26"/>
      <c r="M14" s="26"/>
      <c r="N14" s="25" t="s">
        <v>99</v>
      </c>
      <c r="O14" s="25" t="s">
        <v>102</v>
      </c>
      <c r="P14" s="25" t="s">
        <v>115</v>
      </c>
      <c r="Q14" s="25"/>
    </row>
    <row r="15" spans="1:17" ht="165" x14ac:dyDescent="0.25">
      <c r="A15" s="25">
        <v>14</v>
      </c>
      <c r="B15" s="25" t="s">
        <v>199</v>
      </c>
      <c r="C15" s="25" t="s">
        <v>11</v>
      </c>
      <c r="D15" s="25" t="s">
        <v>0</v>
      </c>
      <c r="E15" s="25" t="s">
        <v>48</v>
      </c>
      <c r="F15" s="25" t="s">
        <v>67</v>
      </c>
      <c r="G15" s="26" t="s">
        <v>1075</v>
      </c>
      <c r="H15" s="26" t="s">
        <v>740</v>
      </c>
      <c r="I15" s="26" t="s">
        <v>935</v>
      </c>
      <c r="J15" s="26" t="s">
        <v>870</v>
      </c>
      <c r="K15" s="26"/>
      <c r="L15" s="26"/>
      <c r="M15" s="26" t="s">
        <v>212</v>
      </c>
      <c r="N15" s="25" t="s">
        <v>99</v>
      </c>
      <c r="O15" s="25" t="s">
        <v>102</v>
      </c>
      <c r="P15" s="25" t="s">
        <v>116</v>
      </c>
      <c r="Q15" s="25"/>
    </row>
    <row r="16" spans="1:17" ht="165" x14ac:dyDescent="0.25">
      <c r="A16" s="25">
        <v>15</v>
      </c>
      <c r="B16" s="25" t="s">
        <v>213</v>
      </c>
      <c r="C16" s="25" t="s">
        <v>14</v>
      </c>
      <c r="D16" s="25" t="s">
        <v>0</v>
      </c>
      <c r="E16" s="25" t="s">
        <v>48</v>
      </c>
      <c r="F16" s="25" t="s">
        <v>67</v>
      </c>
      <c r="G16" s="26" t="s">
        <v>1077</v>
      </c>
      <c r="H16" s="26" t="s">
        <v>742</v>
      </c>
      <c r="I16" s="26" t="s">
        <v>936</v>
      </c>
      <c r="J16" s="26" t="s">
        <v>871</v>
      </c>
      <c r="K16" s="26"/>
      <c r="L16" s="26"/>
      <c r="M16" s="26"/>
      <c r="N16" s="25" t="s">
        <v>99</v>
      </c>
      <c r="O16" s="25" t="s">
        <v>102</v>
      </c>
      <c r="P16" s="25" t="s">
        <v>117</v>
      </c>
      <c r="Q16" s="25"/>
    </row>
    <row r="17" spans="1:17" ht="195" x14ac:dyDescent="0.25">
      <c r="A17" s="25">
        <v>16</v>
      </c>
      <c r="B17" s="25" t="s">
        <v>225</v>
      </c>
      <c r="C17" s="25" t="s">
        <v>10</v>
      </c>
      <c r="D17" s="25" t="s">
        <v>0</v>
      </c>
      <c r="E17" s="25" t="s">
        <v>48</v>
      </c>
      <c r="F17" s="25" t="s">
        <v>67</v>
      </c>
      <c r="G17" s="26" t="s">
        <v>1079</v>
      </c>
      <c r="H17" s="26" t="s">
        <v>744</v>
      </c>
      <c r="I17" s="26" t="s">
        <v>937</v>
      </c>
      <c r="J17" s="26" t="s">
        <v>872</v>
      </c>
      <c r="K17" s="26"/>
      <c r="L17" s="26"/>
      <c r="M17" s="26" t="s">
        <v>237</v>
      </c>
      <c r="N17" s="25" t="s">
        <v>99</v>
      </c>
      <c r="O17" s="25" t="s">
        <v>102</v>
      </c>
      <c r="P17" s="25" t="s">
        <v>118</v>
      </c>
      <c r="Q17" s="25"/>
    </row>
    <row r="18" spans="1:17" ht="195" x14ac:dyDescent="0.25">
      <c r="A18" s="25">
        <v>17</v>
      </c>
      <c r="B18" s="25" t="s">
        <v>238</v>
      </c>
      <c r="C18" s="25" t="s">
        <v>9</v>
      </c>
      <c r="D18" s="25" t="s">
        <v>0</v>
      </c>
      <c r="E18" s="25" t="s">
        <v>48</v>
      </c>
      <c r="F18" s="25" t="s">
        <v>67</v>
      </c>
      <c r="G18" s="26" t="s">
        <v>1081</v>
      </c>
      <c r="H18" s="26" t="s">
        <v>746</v>
      </c>
      <c r="I18" s="26" t="s">
        <v>938</v>
      </c>
      <c r="J18" s="26" t="s">
        <v>873</v>
      </c>
      <c r="K18" s="26"/>
      <c r="L18" s="26"/>
      <c r="M18" s="26" t="s">
        <v>252</v>
      </c>
      <c r="N18" s="25" t="s">
        <v>99</v>
      </c>
      <c r="O18" s="25" t="s">
        <v>102</v>
      </c>
      <c r="P18" s="25" t="s">
        <v>119</v>
      </c>
      <c r="Q18" s="25"/>
    </row>
    <row r="19" spans="1:17" ht="180" x14ac:dyDescent="0.25">
      <c r="A19" s="25">
        <v>18</v>
      </c>
      <c r="B19" s="25" t="s">
        <v>253</v>
      </c>
      <c r="C19" s="25" t="s">
        <v>8</v>
      </c>
      <c r="D19" s="25" t="s">
        <v>0</v>
      </c>
      <c r="E19" s="25" t="s">
        <v>48</v>
      </c>
      <c r="F19" s="25" t="s">
        <v>67</v>
      </c>
      <c r="G19" s="26" t="s">
        <v>1083</v>
      </c>
      <c r="H19" s="26" t="s">
        <v>748</v>
      </c>
      <c r="I19" s="26" t="s">
        <v>939</v>
      </c>
      <c r="J19" s="26" t="s">
        <v>874</v>
      </c>
      <c r="K19" s="26"/>
      <c r="L19" s="26"/>
      <c r="M19" s="26"/>
      <c r="N19" s="25" t="s">
        <v>99</v>
      </c>
      <c r="O19" s="25" t="s">
        <v>102</v>
      </c>
      <c r="P19" s="25" t="s">
        <v>120</v>
      </c>
      <c r="Q19" s="25"/>
    </row>
    <row r="20" spans="1:17" ht="225" x14ac:dyDescent="0.25">
      <c r="A20" s="25">
        <v>19</v>
      </c>
      <c r="B20" s="25" t="s">
        <v>264</v>
      </c>
      <c r="C20" s="25" t="s">
        <v>7</v>
      </c>
      <c r="D20" s="25" t="s">
        <v>0</v>
      </c>
      <c r="E20" s="25" t="s">
        <v>48</v>
      </c>
      <c r="F20" s="25" t="s">
        <v>67</v>
      </c>
      <c r="G20" s="26" t="s">
        <v>1085</v>
      </c>
      <c r="H20" s="26" t="s">
        <v>750</v>
      </c>
      <c r="I20" s="26" t="s">
        <v>940</v>
      </c>
      <c r="J20" s="26" t="s">
        <v>875</v>
      </c>
      <c r="K20" s="26"/>
      <c r="L20" s="26"/>
      <c r="M20" s="26" t="s">
        <v>272</v>
      </c>
      <c r="N20" s="25" t="s">
        <v>99</v>
      </c>
      <c r="O20" s="25" t="s">
        <v>102</v>
      </c>
      <c r="P20" s="25" t="s">
        <v>121</v>
      </c>
      <c r="Q20" s="25"/>
    </row>
    <row r="21" spans="1:17" ht="150" x14ac:dyDescent="0.25">
      <c r="A21" s="25">
        <v>20</v>
      </c>
      <c r="B21" s="25" t="s">
        <v>273</v>
      </c>
      <c r="C21" s="25" t="s">
        <v>6</v>
      </c>
      <c r="D21" s="25" t="s">
        <v>0</v>
      </c>
      <c r="E21" s="25" t="s">
        <v>48</v>
      </c>
      <c r="F21" s="25" t="s">
        <v>67</v>
      </c>
      <c r="G21" s="26" t="s">
        <v>1086</v>
      </c>
      <c r="H21" s="26" t="s">
        <v>752</v>
      </c>
      <c r="I21" s="26" t="s">
        <v>941</v>
      </c>
      <c r="J21" s="26" t="s">
        <v>876</v>
      </c>
      <c r="K21" s="26"/>
      <c r="L21" s="26"/>
      <c r="M21" s="26" t="s">
        <v>284</v>
      </c>
      <c r="N21" s="25" t="s">
        <v>99</v>
      </c>
      <c r="O21" s="25" t="s">
        <v>102</v>
      </c>
      <c r="P21" s="25" t="s">
        <v>122</v>
      </c>
      <c r="Q21" s="25"/>
    </row>
    <row r="22" spans="1:17" ht="150" x14ac:dyDescent="0.25">
      <c r="A22" s="25">
        <v>21</v>
      </c>
      <c r="B22" s="25" t="s">
        <v>285</v>
      </c>
      <c r="C22" s="25" t="s">
        <v>5</v>
      </c>
      <c r="D22" s="25" t="s">
        <v>0</v>
      </c>
      <c r="E22" s="25" t="s">
        <v>48</v>
      </c>
      <c r="F22" s="25" t="s">
        <v>67</v>
      </c>
      <c r="G22" s="26" t="s">
        <v>1087</v>
      </c>
      <c r="H22" s="26" t="s">
        <v>754</v>
      </c>
      <c r="I22" s="26" t="s">
        <v>942</v>
      </c>
      <c r="J22" s="26" t="s">
        <v>877</v>
      </c>
      <c r="K22" s="26"/>
      <c r="L22" s="26"/>
      <c r="M22" s="26"/>
      <c r="N22" s="25" t="s">
        <v>99</v>
      </c>
      <c r="O22" s="25" t="s">
        <v>102</v>
      </c>
      <c r="P22" s="25" t="s">
        <v>123</v>
      </c>
      <c r="Q22" s="25"/>
    </row>
    <row r="23" spans="1:17" ht="150" x14ac:dyDescent="0.25">
      <c r="A23" s="25">
        <v>22</v>
      </c>
      <c r="B23" s="25" t="s">
        <v>296</v>
      </c>
      <c r="C23" s="25" t="s">
        <v>17</v>
      </c>
      <c r="D23" s="25" t="s">
        <v>0</v>
      </c>
      <c r="E23" s="25" t="s">
        <v>48</v>
      </c>
      <c r="F23" s="25" t="s">
        <v>67</v>
      </c>
      <c r="G23" s="26" t="s">
        <v>1089</v>
      </c>
      <c r="H23" s="26" t="s">
        <v>756</v>
      </c>
      <c r="I23" s="26" t="s">
        <v>943</v>
      </c>
      <c r="J23" s="26" t="s">
        <v>878</v>
      </c>
      <c r="K23" s="26"/>
      <c r="L23" s="26"/>
      <c r="M23" s="26"/>
      <c r="N23" s="25" t="s">
        <v>99</v>
      </c>
      <c r="O23" s="25" t="s">
        <v>102</v>
      </c>
      <c r="P23" s="25" t="s">
        <v>124</v>
      </c>
      <c r="Q23" s="25"/>
    </row>
    <row r="24" spans="1:17" ht="180" x14ac:dyDescent="0.25">
      <c r="A24" s="25">
        <v>23</v>
      </c>
      <c r="B24" s="25" t="s">
        <v>309</v>
      </c>
      <c r="C24" s="25" t="s">
        <v>15</v>
      </c>
      <c r="D24" s="25" t="s">
        <v>0</v>
      </c>
      <c r="E24" s="25" t="s">
        <v>48</v>
      </c>
      <c r="F24" s="25" t="s">
        <v>67</v>
      </c>
      <c r="G24" s="26" t="s">
        <v>1091</v>
      </c>
      <c r="H24" s="26" t="s">
        <v>758</v>
      </c>
      <c r="I24" s="26" t="s">
        <v>944</v>
      </c>
      <c r="J24" s="26" t="s">
        <v>879</v>
      </c>
      <c r="K24" s="26"/>
      <c r="L24" s="26"/>
      <c r="M24" s="26"/>
      <c r="N24" s="25" t="s">
        <v>99</v>
      </c>
      <c r="O24" s="25" t="s">
        <v>102</v>
      </c>
      <c r="P24" s="25" t="s">
        <v>125</v>
      </c>
      <c r="Q24" s="25"/>
    </row>
    <row r="25" spans="1:17" ht="195" x14ac:dyDescent="0.25">
      <c r="A25" s="25">
        <v>24</v>
      </c>
      <c r="B25" s="25" t="s">
        <v>323</v>
      </c>
      <c r="C25" s="25" t="s">
        <v>13</v>
      </c>
      <c r="D25" s="25" t="s">
        <v>0</v>
      </c>
      <c r="E25" s="25" t="s">
        <v>48</v>
      </c>
      <c r="F25" s="25" t="s">
        <v>67</v>
      </c>
      <c r="G25" s="26" t="s">
        <v>1093</v>
      </c>
      <c r="H25" s="26" t="s">
        <v>760</v>
      </c>
      <c r="I25" s="26" t="s">
        <v>945</v>
      </c>
      <c r="J25" s="26" t="s">
        <v>880</v>
      </c>
      <c r="K25" s="26"/>
      <c r="L25" s="26"/>
      <c r="M25" s="26"/>
      <c r="N25" s="25" t="s">
        <v>99</v>
      </c>
      <c r="O25" s="25" t="s">
        <v>102</v>
      </c>
      <c r="P25" s="25" t="s">
        <v>126</v>
      </c>
      <c r="Q25" s="25"/>
    </row>
    <row r="26" spans="1:17" ht="150" x14ac:dyDescent="0.25">
      <c r="A26" s="25">
        <v>25</v>
      </c>
      <c r="B26" s="25" t="s">
        <v>647</v>
      </c>
      <c r="C26" s="25" t="s">
        <v>34</v>
      </c>
      <c r="D26" s="25" t="s">
        <v>19</v>
      </c>
      <c r="E26" s="25" t="s">
        <v>49</v>
      </c>
      <c r="F26" s="25" t="s">
        <v>68</v>
      </c>
      <c r="G26" s="26" t="s">
        <v>1094</v>
      </c>
      <c r="H26" s="26" t="s">
        <v>762</v>
      </c>
      <c r="I26" s="26" t="s">
        <v>946</v>
      </c>
      <c r="J26" s="26" t="s">
        <v>881</v>
      </c>
      <c r="K26" s="26"/>
      <c r="L26" s="26"/>
      <c r="M26" s="26" t="s">
        <v>648</v>
      </c>
      <c r="N26" s="25" t="s">
        <v>100</v>
      </c>
      <c r="O26" s="25" t="s">
        <v>102</v>
      </c>
      <c r="P26" s="25" t="s">
        <v>127</v>
      </c>
      <c r="Q26" s="25"/>
    </row>
    <row r="27" spans="1:17" ht="135" x14ac:dyDescent="0.25">
      <c r="A27" s="25">
        <v>26</v>
      </c>
      <c r="B27" s="25" t="s">
        <v>649</v>
      </c>
      <c r="C27" s="25" t="s">
        <v>34</v>
      </c>
      <c r="D27" s="25" t="s">
        <v>19</v>
      </c>
      <c r="E27" s="25" t="s">
        <v>49</v>
      </c>
      <c r="F27" s="25" t="s">
        <v>68</v>
      </c>
      <c r="G27" s="26" t="s">
        <v>1096</v>
      </c>
      <c r="H27" s="26" t="s">
        <v>764</v>
      </c>
      <c r="I27" s="26" t="s">
        <v>947</v>
      </c>
      <c r="J27" s="26" t="s">
        <v>882</v>
      </c>
      <c r="K27" s="26"/>
      <c r="L27" s="26"/>
      <c r="M27" s="26" t="s">
        <v>650</v>
      </c>
      <c r="N27" s="25" t="s">
        <v>100</v>
      </c>
      <c r="O27" s="25" t="s">
        <v>102</v>
      </c>
      <c r="P27" s="25" t="s">
        <v>127</v>
      </c>
      <c r="Q27" s="25"/>
    </row>
    <row r="28" spans="1:17" ht="150" x14ac:dyDescent="0.25">
      <c r="A28" s="25">
        <v>27</v>
      </c>
      <c r="B28" s="25" t="s">
        <v>651</v>
      </c>
      <c r="C28" s="25" t="s">
        <v>25</v>
      </c>
      <c r="D28" s="25" t="s">
        <v>19</v>
      </c>
      <c r="E28" s="25" t="s">
        <v>49</v>
      </c>
      <c r="F28" s="25" t="s">
        <v>68</v>
      </c>
      <c r="G28" s="26" t="s">
        <v>1098</v>
      </c>
      <c r="H28" s="26" t="s">
        <v>766</v>
      </c>
      <c r="I28" s="26" t="s">
        <v>948</v>
      </c>
      <c r="J28" s="26" t="s">
        <v>883</v>
      </c>
      <c r="K28" s="26"/>
      <c r="L28" s="26"/>
      <c r="M28" s="26" t="s">
        <v>652</v>
      </c>
      <c r="N28" s="25" t="s">
        <v>100</v>
      </c>
      <c r="O28" s="25" t="s">
        <v>102</v>
      </c>
      <c r="P28" s="25" t="s">
        <v>128</v>
      </c>
      <c r="Q28" s="25"/>
    </row>
    <row r="29" spans="1:17" ht="120" x14ac:dyDescent="0.25">
      <c r="A29" s="25">
        <v>28</v>
      </c>
      <c r="B29" s="25" t="s">
        <v>653</v>
      </c>
      <c r="C29" s="25" t="s">
        <v>25</v>
      </c>
      <c r="D29" s="25" t="s">
        <v>19</v>
      </c>
      <c r="E29" s="25" t="s">
        <v>49</v>
      </c>
      <c r="F29" s="25" t="s">
        <v>68</v>
      </c>
      <c r="G29" s="26" t="s">
        <v>1100</v>
      </c>
      <c r="H29" s="26" t="s">
        <v>768</v>
      </c>
      <c r="I29" s="26" t="s">
        <v>949</v>
      </c>
      <c r="J29" s="26" t="s">
        <v>884</v>
      </c>
      <c r="K29" s="26"/>
      <c r="L29" s="26"/>
      <c r="M29" s="26" t="s">
        <v>654</v>
      </c>
      <c r="N29" s="25" t="s">
        <v>100</v>
      </c>
      <c r="O29" s="25" t="s">
        <v>102</v>
      </c>
      <c r="P29" s="25" t="s">
        <v>128</v>
      </c>
      <c r="Q29" s="25"/>
    </row>
    <row r="30" spans="1:17" ht="120" x14ac:dyDescent="0.25">
      <c r="A30" s="25">
        <v>29</v>
      </c>
      <c r="B30" s="25" t="s">
        <v>655</v>
      </c>
      <c r="C30" s="25" t="s">
        <v>23</v>
      </c>
      <c r="D30" s="25" t="s">
        <v>19</v>
      </c>
      <c r="E30" s="25" t="s">
        <v>49</v>
      </c>
      <c r="F30" s="25" t="s">
        <v>68</v>
      </c>
      <c r="G30" s="26" t="s">
        <v>1102</v>
      </c>
      <c r="H30" s="26" t="s">
        <v>770</v>
      </c>
      <c r="I30" s="26" t="s">
        <v>950</v>
      </c>
      <c r="J30" s="26" t="s">
        <v>885</v>
      </c>
      <c r="K30" s="26"/>
      <c r="L30" s="26"/>
      <c r="M30" s="26" t="s">
        <v>656</v>
      </c>
      <c r="N30" s="25" t="s">
        <v>100</v>
      </c>
      <c r="O30" s="25" t="s">
        <v>102</v>
      </c>
      <c r="P30" s="25" t="s">
        <v>129</v>
      </c>
      <c r="Q30" s="25"/>
    </row>
    <row r="31" spans="1:17" ht="90" x14ac:dyDescent="0.25">
      <c r="A31" s="25">
        <v>30</v>
      </c>
      <c r="B31" s="25" t="s">
        <v>657</v>
      </c>
      <c r="C31" s="25" t="s">
        <v>23</v>
      </c>
      <c r="D31" s="25" t="s">
        <v>19</v>
      </c>
      <c r="E31" s="25" t="s">
        <v>49</v>
      </c>
      <c r="F31" s="25" t="s">
        <v>68</v>
      </c>
      <c r="G31" s="26" t="s">
        <v>1104</v>
      </c>
      <c r="H31" s="26" t="s">
        <v>772</v>
      </c>
      <c r="I31" s="26" t="s">
        <v>951</v>
      </c>
      <c r="J31" s="26" t="s">
        <v>886</v>
      </c>
      <c r="K31" s="26"/>
      <c r="L31" s="26"/>
      <c r="M31" s="26" t="s">
        <v>658</v>
      </c>
      <c r="N31" s="25" t="s">
        <v>100</v>
      </c>
      <c r="O31" s="25" t="s">
        <v>102</v>
      </c>
      <c r="P31" s="25" t="s">
        <v>129</v>
      </c>
      <c r="Q31" s="25"/>
    </row>
    <row r="32" spans="1:17" ht="105" x14ac:dyDescent="0.25">
      <c r="A32" s="25">
        <v>31</v>
      </c>
      <c r="B32" s="25" t="s">
        <v>659</v>
      </c>
      <c r="C32" s="25" t="s">
        <v>22</v>
      </c>
      <c r="D32" s="25" t="s">
        <v>19</v>
      </c>
      <c r="E32" s="25" t="s">
        <v>49</v>
      </c>
      <c r="F32" s="25" t="s">
        <v>68</v>
      </c>
      <c r="G32" s="26" t="s">
        <v>1106</v>
      </c>
      <c r="H32" s="26" t="s">
        <v>774</v>
      </c>
      <c r="I32" s="26" t="s">
        <v>952</v>
      </c>
      <c r="J32" s="26" t="s">
        <v>887</v>
      </c>
      <c r="K32" s="26"/>
      <c r="L32" s="26"/>
      <c r="M32" s="26" t="s">
        <v>660</v>
      </c>
      <c r="N32" s="25" t="s">
        <v>100</v>
      </c>
      <c r="O32" s="25" t="s">
        <v>102</v>
      </c>
      <c r="P32" s="25" t="s">
        <v>130</v>
      </c>
      <c r="Q32" s="25"/>
    </row>
    <row r="33" spans="1:17" ht="90" x14ac:dyDescent="0.25">
      <c r="A33" s="25">
        <v>32</v>
      </c>
      <c r="B33" s="25" t="s">
        <v>661</v>
      </c>
      <c r="C33" s="25" t="s">
        <v>22</v>
      </c>
      <c r="D33" s="25" t="s">
        <v>19</v>
      </c>
      <c r="E33" s="25" t="s">
        <v>49</v>
      </c>
      <c r="F33" s="25" t="s">
        <v>68</v>
      </c>
      <c r="G33" s="26" t="s">
        <v>1108</v>
      </c>
      <c r="H33" s="26" t="s">
        <v>776</v>
      </c>
      <c r="I33" s="26" t="s">
        <v>953</v>
      </c>
      <c r="J33" s="26" t="s">
        <v>888</v>
      </c>
      <c r="K33" s="26"/>
      <c r="L33" s="26"/>
      <c r="M33" s="26" t="s">
        <v>662</v>
      </c>
      <c r="N33" s="25" t="s">
        <v>100</v>
      </c>
      <c r="O33" s="25" t="s">
        <v>102</v>
      </c>
      <c r="P33" s="25" t="s">
        <v>130</v>
      </c>
      <c r="Q33" s="25"/>
    </row>
    <row r="34" spans="1:17" ht="120" x14ac:dyDescent="0.25">
      <c r="A34" s="25">
        <v>33</v>
      </c>
      <c r="B34" s="25" t="s">
        <v>663</v>
      </c>
      <c r="C34" s="25" t="s">
        <v>21</v>
      </c>
      <c r="D34" s="25" t="s">
        <v>19</v>
      </c>
      <c r="E34" s="25" t="s">
        <v>49</v>
      </c>
      <c r="F34" s="25" t="s">
        <v>68</v>
      </c>
      <c r="G34" s="26" t="s">
        <v>1110</v>
      </c>
      <c r="H34" s="26" t="s">
        <v>778</v>
      </c>
      <c r="I34" s="26" t="s">
        <v>954</v>
      </c>
      <c r="J34" s="26" t="s">
        <v>889</v>
      </c>
      <c r="K34" s="26"/>
      <c r="L34" s="26"/>
      <c r="M34" s="26" t="s">
        <v>664</v>
      </c>
      <c r="N34" s="25" t="s">
        <v>100</v>
      </c>
      <c r="O34" s="25" t="s">
        <v>102</v>
      </c>
      <c r="P34" s="25" t="s">
        <v>131</v>
      </c>
      <c r="Q34" s="25"/>
    </row>
    <row r="35" spans="1:17" ht="105" x14ac:dyDescent="0.25">
      <c r="A35" s="25">
        <v>34</v>
      </c>
      <c r="B35" s="25" t="s">
        <v>665</v>
      </c>
      <c r="C35" s="25" t="s">
        <v>21</v>
      </c>
      <c r="D35" s="25" t="s">
        <v>19</v>
      </c>
      <c r="E35" s="25" t="s">
        <v>49</v>
      </c>
      <c r="F35" s="25" t="s">
        <v>68</v>
      </c>
      <c r="G35" s="26" t="s">
        <v>1112</v>
      </c>
      <c r="H35" s="26" t="s">
        <v>780</v>
      </c>
      <c r="I35" s="26" t="s">
        <v>955</v>
      </c>
      <c r="J35" s="26" t="s">
        <v>890</v>
      </c>
      <c r="K35" s="26"/>
      <c r="L35" s="26"/>
      <c r="M35" s="26" t="s">
        <v>666</v>
      </c>
      <c r="N35" s="25" t="s">
        <v>100</v>
      </c>
      <c r="O35" s="25" t="s">
        <v>102</v>
      </c>
      <c r="P35" s="25" t="s">
        <v>131</v>
      </c>
      <c r="Q35" s="25"/>
    </row>
    <row r="36" spans="1:17" ht="105" x14ac:dyDescent="0.25">
      <c r="A36" s="25">
        <v>35</v>
      </c>
      <c r="B36" s="25" t="s">
        <v>667</v>
      </c>
      <c r="C36" s="25" t="s">
        <v>20</v>
      </c>
      <c r="D36" s="25" t="s">
        <v>19</v>
      </c>
      <c r="E36" s="25" t="s">
        <v>49</v>
      </c>
      <c r="F36" s="25" t="s">
        <v>68</v>
      </c>
      <c r="G36" s="26" t="s">
        <v>1114</v>
      </c>
      <c r="H36" s="26" t="s">
        <v>782</v>
      </c>
      <c r="I36" s="26" t="s">
        <v>956</v>
      </c>
      <c r="J36" s="26" t="s">
        <v>891</v>
      </c>
      <c r="K36" s="26"/>
      <c r="L36" s="26"/>
      <c r="M36" s="26" t="s">
        <v>668</v>
      </c>
      <c r="N36" s="25" t="s">
        <v>100</v>
      </c>
      <c r="O36" s="25" t="s">
        <v>102</v>
      </c>
      <c r="P36" s="25" t="s">
        <v>132</v>
      </c>
      <c r="Q36" s="25"/>
    </row>
    <row r="37" spans="1:17" ht="105" x14ac:dyDescent="0.25">
      <c r="A37" s="25">
        <v>36</v>
      </c>
      <c r="B37" s="25" t="s">
        <v>669</v>
      </c>
      <c r="C37" s="25" t="s">
        <v>20</v>
      </c>
      <c r="D37" s="25" t="s">
        <v>19</v>
      </c>
      <c r="E37" s="25" t="s">
        <v>49</v>
      </c>
      <c r="F37" s="25" t="s">
        <v>68</v>
      </c>
      <c r="G37" s="26" t="s">
        <v>1116</v>
      </c>
      <c r="H37" s="26" t="s">
        <v>784</v>
      </c>
      <c r="I37" s="26" t="s">
        <v>957</v>
      </c>
      <c r="J37" s="26" t="s">
        <v>892</v>
      </c>
      <c r="K37" s="26"/>
      <c r="L37" s="26"/>
      <c r="M37" s="26" t="s">
        <v>670</v>
      </c>
      <c r="N37" s="25" t="s">
        <v>100</v>
      </c>
      <c r="O37" s="25" t="s">
        <v>102</v>
      </c>
      <c r="P37" s="25" t="s">
        <v>132</v>
      </c>
      <c r="Q37" s="25"/>
    </row>
    <row r="38" spans="1:17" ht="90" x14ac:dyDescent="0.25">
      <c r="A38" s="25">
        <v>37</v>
      </c>
      <c r="B38" s="25" t="s">
        <v>671</v>
      </c>
      <c r="C38" s="25" t="s">
        <v>33</v>
      </c>
      <c r="D38" s="25" t="s">
        <v>19</v>
      </c>
      <c r="E38" s="25" t="s">
        <v>49</v>
      </c>
      <c r="F38" s="25" t="s">
        <v>68</v>
      </c>
      <c r="G38" s="26" t="s">
        <v>1118</v>
      </c>
      <c r="H38" s="26" t="s">
        <v>786</v>
      </c>
      <c r="I38" s="26" t="s">
        <v>958</v>
      </c>
      <c r="J38" s="26" t="s">
        <v>893</v>
      </c>
      <c r="K38" s="26"/>
      <c r="L38" s="26"/>
      <c r="M38" s="26" t="s">
        <v>672</v>
      </c>
      <c r="N38" s="25" t="s">
        <v>100</v>
      </c>
      <c r="O38" s="25" t="s">
        <v>102</v>
      </c>
      <c r="P38" s="25" t="s">
        <v>133</v>
      </c>
      <c r="Q38" s="25"/>
    </row>
    <row r="39" spans="1:17" ht="90" x14ac:dyDescent="0.25">
      <c r="A39" s="25">
        <v>38</v>
      </c>
      <c r="B39" s="25" t="s">
        <v>673</v>
      </c>
      <c r="C39" s="25" t="s">
        <v>33</v>
      </c>
      <c r="D39" s="25" t="s">
        <v>19</v>
      </c>
      <c r="E39" s="25" t="s">
        <v>49</v>
      </c>
      <c r="F39" s="25" t="s">
        <v>68</v>
      </c>
      <c r="G39" s="26" t="s">
        <v>1120</v>
      </c>
      <c r="H39" s="26" t="s">
        <v>788</v>
      </c>
      <c r="I39" s="26" t="s">
        <v>959</v>
      </c>
      <c r="J39" s="26" t="s">
        <v>894</v>
      </c>
      <c r="K39" s="26"/>
      <c r="L39" s="26"/>
      <c r="M39" s="26" t="s">
        <v>674</v>
      </c>
      <c r="N39" s="25" t="s">
        <v>100</v>
      </c>
      <c r="O39" s="25" t="s">
        <v>102</v>
      </c>
      <c r="P39" s="25" t="s">
        <v>133</v>
      </c>
      <c r="Q39" s="25"/>
    </row>
    <row r="40" spans="1:17" ht="105" x14ac:dyDescent="0.25">
      <c r="A40" s="25">
        <v>39</v>
      </c>
      <c r="B40" s="25" t="s">
        <v>675</v>
      </c>
      <c r="C40" s="25" t="s">
        <v>32</v>
      </c>
      <c r="D40" s="25" t="s">
        <v>19</v>
      </c>
      <c r="E40" s="25" t="s">
        <v>49</v>
      </c>
      <c r="F40" s="25" t="s">
        <v>68</v>
      </c>
      <c r="G40" s="26" t="s">
        <v>1122</v>
      </c>
      <c r="H40" s="26" t="s">
        <v>790</v>
      </c>
      <c r="I40" s="26" t="s">
        <v>960</v>
      </c>
      <c r="J40" s="26" t="s">
        <v>895</v>
      </c>
      <c r="K40" s="26"/>
      <c r="L40" s="26"/>
      <c r="M40" s="26" t="s">
        <v>676</v>
      </c>
      <c r="N40" s="25" t="s">
        <v>100</v>
      </c>
      <c r="O40" s="25" t="s">
        <v>102</v>
      </c>
      <c r="P40" s="25" t="s">
        <v>134</v>
      </c>
      <c r="Q40" s="25"/>
    </row>
    <row r="41" spans="1:17" ht="105" x14ac:dyDescent="0.25">
      <c r="A41" s="25">
        <v>40</v>
      </c>
      <c r="B41" s="25" t="s">
        <v>677</v>
      </c>
      <c r="C41" s="25" t="s">
        <v>32</v>
      </c>
      <c r="D41" s="25" t="s">
        <v>19</v>
      </c>
      <c r="E41" s="25" t="s">
        <v>49</v>
      </c>
      <c r="F41" s="25" t="s">
        <v>68</v>
      </c>
      <c r="G41" s="26" t="s">
        <v>1124</v>
      </c>
      <c r="H41" s="26" t="s">
        <v>792</v>
      </c>
      <c r="I41" s="26" t="s">
        <v>961</v>
      </c>
      <c r="J41" s="26" t="s">
        <v>896</v>
      </c>
      <c r="K41" s="26"/>
      <c r="L41" s="26"/>
      <c r="M41" s="26" t="s">
        <v>678</v>
      </c>
      <c r="N41" s="25" t="s">
        <v>100</v>
      </c>
      <c r="O41" s="25" t="s">
        <v>102</v>
      </c>
      <c r="P41" s="25" t="s">
        <v>134</v>
      </c>
      <c r="Q41" s="25"/>
    </row>
    <row r="42" spans="1:17" ht="105" x14ac:dyDescent="0.25">
      <c r="A42" s="25">
        <v>41</v>
      </c>
      <c r="B42" s="25" t="s">
        <v>679</v>
      </c>
      <c r="C42" s="25" t="s">
        <v>31</v>
      </c>
      <c r="D42" s="25" t="s">
        <v>19</v>
      </c>
      <c r="E42" s="25" t="s">
        <v>49</v>
      </c>
      <c r="F42" s="25" t="s">
        <v>68</v>
      </c>
      <c r="G42" s="26" t="s">
        <v>1126</v>
      </c>
      <c r="H42" s="26" t="s">
        <v>794</v>
      </c>
      <c r="I42" s="26" t="s">
        <v>962</v>
      </c>
      <c r="J42" s="26" t="s">
        <v>897</v>
      </c>
      <c r="K42" s="26"/>
      <c r="L42" s="26"/>
      <c r="M42" s="26" t="s">
        <v>680</v>
      </c>
      <c r="N42" s="25" t="s">
        <v>100</v>
      </c>
      <c r="O42" s="25" t="s">
        <v>102</v>
      </c>
      <c r="P42" s="25" t="s">
        <v>135</v>
      </c>
      <c r="Q42" s="25"/>
    </row>
    <row r="43" spans="1:17" ht="105" x14ac:dyDescent="0.25">
      <c r="A43" s="25">
        <v>42</v>
      </c>
      <c r="B43" s="25" t="s">
        <v>681</v>
      </c>
      <c r="C43" s="25" t="s">
        <v>31</v>
      </c>
      <c r="D43" s="25" t="s">
        <v>19</v>
      </c>
      <c r="E43" s="25" t="s">
        <v>49</v>
      </c>
      <c r="F43" s="25" t="s">
        <v>68</v>
      </c>
      <c r="G43" s="26" t="s">
        <v>1128</v>
      </c>
      <c r="H43" s="26" t="s">
        <v>796</v>
      </c>
      <c r="I43" s="26" t="s">
        <v>963</v>
      </c>
      <c r="J43" s="26" t="s">
        <v>898</v>
      </c>
      <c r="K43" s="26"/>
      <c r="L43" s="26"/>
      <c r="M43" s="26" t="s">
        <v>682</v>
      </c>
      <c r="N43" s="25" t="s">
        <v>100</v>
      </c>
      <c r="O43" s="25" t="s">
        <v>102</v>
      </c>
      <c r="P43" s="25" t="s">
        <v>135</v>
      </c>
      <c r="Q43" s="25"/>
    </row>
    <row r="44" spans="1:17" ht="120" x14ac:dyDescent="0.25">
      <c r="A44" s="25">
        <v>43</v>
      </c>
      <c r="B44" s="25" t="s">
        <v>683</v>
      </c>
      <c r="C44" s="25" t="s">
        <v>30</v>
      </c>
      <c r="D44" s="25" t="s">
        <v>19</v>
      </c>
      <c r="E44" s="25" t="s">
        <v>49</v>
      </c>
      <c r="F44" s="25" t="s">
        <v>68</v>
      </c>
      <c r="G44" s="26" t="s">
        <v>1130</v>
      </c>
      <c r="H44" s="26" t="s">
        <v>798</v>
      </c>
      <c r="I44" s="26" t="s">
        <v>964</v>
      </c>
      <c r="J44" s="26" t="s">
        <v>899</v>
      </c>
      <c r="K44" s="26"/>
      <c r="L44" s="26"/>
      <c r="M44" s="26" t="s">
        <v>684</v>
      </c>
      <c r="N44" s="25" t="s">
        <v>100</v>
      </c>
      <c r="O44" s="25" t="s">
        <v>102</v>
      </c>
      <c r="P44" s="25" t="s">
        <v>136</v>
      </c>
      <c r="Q44" s="25"/>
    </row>
    <row r="45" spans="1:17" ht="90" x14ac:dyDescent="0.25">
      <c r="A45" s="25">
        <v>44</v>
      </c>
      <c r="B45" s="25" t="s">
        <v>685</v>
      </c>
      <c r="C45" s="25" t="s">
        <v>30</v>
      </c>
      <c r="D45" s="25" t="s">
        <v>19</v>
      </c>
      <c r="E45" s="25" t="s">
        <v>49</v>
      </c>
      <c r="F45" s="25" t="s">
        <v>68</v>
      </c>
      <c r="G45" s="26" t="s">
        <v>1132</v>
      </c>
      <c r="H45" s="26" t="s">
        <v>800</v>
      </c>
      <c r="I45" s="26" t="s">
        <v>965</v>
      </c>
      <c r="J45" s="26" t="s">
        <v>900</v>
      </c>
      <c r="K45" s="26"/>
      <c r="L45" s="26"/>
      <c r="M45" s="26" t="s">
        <v>686</v>
      </c>
      <c r="N45" s="25" t="s">
        <v>100</v>
      </c>
      <c r="O45" s="25" t="s">
        <v>102</v>
      </c>
      <c r="P45" s="25" t="s">
        <v>136</v>
      </c>
      <c r="Q45" s="25"/>
    </row>
    <row r="46" spans="1:17" ht="90" x14ac:dyDescent="0.25">
      <c r="A46" s="25">
        <v>45</v>
      </c>
      <c r="B46" s="25" t="s">
        <v>687</v>
      </c>
      <c r="C46" s="25" t="s">
        <v>51</v>
      </c>
      <c r="D46" s="25" t="s">
        <v>19</v>
      </c>
      <c r="E46" s="25" t="s">
        <v>49</v>
      </c>
      <c r="F46" s="25" t="s">
        <v>68</v>
      </c>
      <c r="G46" s="26" t="s">
        <v>1134</v>
      </c>
      <c r="H46" s="26" t="s">
        <v>802</v>
      </c>
      <c r="I46" s="26" t="s">
        <v>966</v>
      </c>
      <c r="J46" s="26" t="s">
        <v>901</v>
      </c>
      <c r="K46" s="26"/>
      <c r="L46" s="26"/>
      <c r="M46" s="26" t="s">
        <v>680</v>
      </c>
      <c r="N46" s="25" t="s">
        <v>100</v>
      </c>
      <c r="O46" s="25" t="s">
        <v>102</v>
      </c>
      <c r="P46" s="25" t="s">
        <v>137</v>
      </c>
      <c r="Q46" s="25"/>
    </row>
    <row r="47" spans="1:17" ht="90" x14ac:dyDescent="0.25">
      <c r="A47" s="25">
        <v>46</v>
      </c>
      <c r="B47" s="25" t="s">
        <v>688</v>
      </c>
      <c r="C47" s="25" t="s">
        <v>51</v>
      </c>
      <c r="D47" s="25" t="s">
        <v>19</v>
      </c>
      <c r="E47" s="25" t="s">
        <v>49</v>
      </c>
      <c r="F47" s="25" t="s">
        <v>68</v>
      </c>
      <c r="G47" s="26" t="s">
        <v>1136</v>
      </c>
      <c r="H47" s="26" t="s">
        <v>804</v>
      </c>
      <c r="I47" s="26" t="s">
        <v>967</v>
      </c>
      <c r="J47" s="26" t="s">
        <v>902</v>
      </c>
      <c r="K47" s="26"/>
      <c r="L47" s="26"/>
      <c r="M47" s="26" t="s">
        <v>689</v>
      </c>
      <c r="N47" s="25" t="s">
        <v>100</v>
      </c>
      <c r="O47" s="25" t="s">
        <v>102</v>
      </c>
      <c r="P47" s="25" t="s">
        <v>137</v>
      </c>
      <c r="Q47" s="25"/>
    </row>
    <row r="48" spans="1:17" ht="105" x14ac:dyDescent="0.25">
      <c r="A48" s="25">
        <v>47</v>
      </c>
      <c r="B48" s="25" t="s">
        <v>690</v>
      </c>
      <c r="C48" s="25" t="s">
        <v>24</v>
      </c>
      <c r="D48" s="25" t="s">
        <v>19</v>
      </c>
      <c r="E48" s="25" t="s">
        <v>49</v>
      </c>
      <c r="F48" s="25" t="s">
        <v>68</v>
      </c>
      <c r="G48" s="26" t="s">
        <v>1138</v>
      </c>
      <c r="H48" s="26" t="s">
        <v>806</v>
      </c>
      <c r="I48" s="26" t="s">
        <v>968</v>
      </c>
      <c r="J48" s="26" t="s">
        <v>903</v>
      </c>
      <c r="K48" s="26"/>
      <c r="L48" s="26"/>
      <c r="M48" s="26" t="s">
        <v>684</v>
      </c>
      <c r="N48" s="25" t="s">
        <v>100</v>
      </c>
      <c r="O48" s="25" t="s">
        <v>102</v>
      </c>
      <c r="P48" s="25" t="s">
        <v>138</v>
      </c>
      <c r="Q48" s="25"/>
    </row>
    <row r="49" spans="1:17" ht="90" x14ac:dyDescent="0.25">
      <c r="A49" s="25">
        <v>48</v>
      </c>
      <c r="B49" s="25" t="s">
        <v>691</v>
      </c>
      <c r="C49" s="25" t="s">
        <v>24</v>
      </c>
      <c r="D49" s="25" t="s">
        <v>19</v>
      </c>
      <c r="E49" s="25" t="s">
        <v>49</v>
      </c>
      <c r="F49" s="25" t="s">
        <v>68</v>
      </c>
      <c r="G49" s="26" t="s">
        <v>1140</v>
      </c>
      <c r="H49" s="26" t="s">
        <v>808</v>
      </c>
      <c r="I49" s="26" t="s">
        <v>969</v>
      </c>
      <c r="J49" s="26" t="s">
        <v>904</v>
      </c>
      <c r="K49" s="26"/>
      <c r="L49" s="26"/>
      <c r="M49" s="26" t="s">
        <v>692</v>
      </c>
      <c r="N49" s="25" t="s">
        <v>100</v>
      </c>
      <c r="O49" s="25" t="s">
        <v>102</v>
      </c>
      <c r="P49" s="25" t="s">
        <v>138</v>
      </c>
      <c r="Q49" s="25"/>
    </row>
    <row r="50" spans="1:17" ht="105" x14ac:dyDescent="0.25">
      <c r="A50" s="25">
        <v>49</v>
      </c>
      <c r="B50" s="25" t="s">
        <v>693</v>
      </c>
      <c r="C50" s="25" t="s">
        <v>28</v>
      </c>
      <c r="D50" s="25" t="s">
        <v>19</v>
      </c>
      <c r="E50" s="25" t="s">
        <v>49</v>
      </c>
      <c r="F50" s="25" t="s">
        <v>68</v>
      </c>
      <c r="G50" s="26" t="s">
        <v>1142</v>
      </c>
      <c r="H50" s="26" t="s">
        <v>810</v>
      </c>
      <c r="I50" s="26" t="s">
        <v>970</v>
      </c>
      <c r="J50" s="26" t="s">
        <v>905</v>
      </c>
      <c r="K50" s="26"/>
      <c r="L50" s="26"/>
      <c r="M50" s="26" t="s">
        <v>694</v>
      </c>
      <c r="N50" s="25" t="s">
        <v>100</v>
      </c>
      <c r="O50" s="25" t="s">
        <v>102</v>
      </c>
      <c r="P50" s="25" t="s">
        <v>139</v>
      </c>
      <c r="Q50" s="25"/>
    </row>
    <row r="51" spans="1:17" ht="90" x14ac:dyDescent="0.25">
      <c r="A51" s="25">
        <v>50</v>
      </c>
      <c r="B51" s="25" t="s">
        <v>695</v>
      </c>
      <c r="C51" s="25" t="s">
        <v>28</v>
      </c>
      <c r="D51" s="25" t="s">
        <v>19</v>
      </c>
      <c r="E51" s="25" t="s">
        <v>49</v>
      </c>
      <c r="F51" s="25" t="s">
        <v>68</v>
      </c>
      <c r="G51" s="26" t="s">
        <v>1144</v>
      </c>
      <c r="H51" s="26" t="s">
        <v>812</v>
      </c>
      <c r="I51" s="26" t="s">
        <v>971</v>
      </c>
      <c r="J51" s="26" t="s">
        <v>906</v>
      </c>
      <c r="K51" s="26"/>
      <c r="L51" s="26"/>
      <c r="M51" s="26" t="s">
        <v>696</v>
      </c>
      <c r="N51" s="25" t="s">
        <v>100</v>
      </c>
      <c r="O51" s="25" t="s">
        <v>102</v>
      </c>
      <c r="P51" s="25" t="s">
        <v>139</v>
      </c>
      <c r="Q51" s="25"/>
    </row>
    <row r="52" spans="1:17" ht="90" x14ac:dyDescent="0.25">
      <c r="A52" s="25">
        <v>51</v>
      </c>
      <c r="B52" s="25" t="s">
        <v>697</v>
      </c>
      <c r="C52" s="25" t="s">
        <v>27</v>
      </c>
      <c r="D52" s="25" t="s">
        <v>19</v>
      </c>
      <c r="E52" s="25" t="s">
        <v>49</v>
      </c>
      <c r="F52" s="25" t="s">
        <v>68</v>
      </c>
      <c r="G52" s="26" t="s">
        <v>1146</v>
      </c>
      <c r="H52" s="26" t="s">
        <v>814</v>
      </c>
      <c r="I52" s="26" t="s">
        <v>972</v>
      </c>
      <c r="J52" s="26" t="s">
        <v>907</v>
      </c>
      <c r="K52" s="26"/>
      <c r="L52" s="26"/>
      <c r="M52" s="26" t="s">
        <v>680</v>
      </c>
      <c r="N52" s="25" t="s">
        <v>100</v>
      </c>
      <c r="O52" s="25" t="s">
        <v>102</v>
      </c>
      <c r="P52" s="25" t="s">
        <v>140</v>
      </c>
      <c r="Q52" s="25"/>
    </row>
    <row r="53" spans="1:17" ht="90" x14ac:dyDescent="0.25">
      <c r="A53" s="25">
        <v>52</v>
      </c>
      <c r="B53" s="25" t="s">
        <v>698</v>
      </c>
      <c r="C53" s="25" t="s">
        <v>27</v>
      </c>
      <c r="D53" s="25" t="s">
        <v>19</v>
      </c>
      <c r="E53" s="25" t="s">
        <v>49</v>
      </c>
      <c r="F53" s="25" t="s">
        <v>68</v>
      </c>
      <c r="G53" s="26" t="s">
        <v>1148</v>
      </c>
      <c r="H53" s="26" t="s">
        <v>816</v>
      </c>
      <c r="I53" s="26" t="s">
        <v>973</v>
      </c>
      <c r="J53" s="26" t="s">
        <v>908</v>
      </c>
      <c r="K53" s="26"/>
      <c r="L53" s="26"/>
      <c r="M53" s="26" t="s">
        <v>699</v>
      </c>
      <c r="N53" s="25" t="s">
        <v>100</v>
      </c>
      <c r="O53" s="25" t="s">
        <v>102</v>
      </c>
      <c r="P53" s="25" t="s">
        <v>140</v>
      </c>
      <c r="Q53" s="25"/>
    </row>
    <row r="54" spans="1:17" ht="90" x14ac:dyDescent="0.25">
      <c r="A54" s="25">
        <v>53</v>
      </c>
      <c r="B54" s="25" t="s">
        <v>700</v>
      </c>
      <c r="C54" s="25" t="s">
        <v>29</v>
      </c>
      <c r="D54" s="25" t="s">
        <v>19</v>
      </c>
      <c r="E54" s="25" t="s">
        <v>49</v>
      </c>
      <c r="F54" s="25" t="s">
        <v>68</v>
      </c>
      <c r="G54" s="26" t="s">
        <v>1150</v>
      </c>
      <c r="H54" s="26" t="s">
        <v>818</v>
      </c>
      <c r="I54" s="26" t="s">
        <v>974</v>
      </c>
      <c r="J54" s="26" t="s">
        <v>909</v>
      </c>
      <c r="K54" s="26"/>
      <c r="L54" s="26"/>
      <c r="M54" s="26" t="s">
        <v>701</v>
      </c>
      <c r="N54" s="25" t="s">
        <v>100</v>
      </c>
      <c r="O54" s="25" t="s">
        <v>102</v>
      </c>
      <c r="P54" s="25" t="s">
        <v>141</v>
      </c>
      <c r="Q54" s="25"/>
    </row>
    <row r="55" spans="1:17" ht="90" x14ac:dyDescent="0.25">
      <c r="A55" s="25">
        <v>54</v>
      </c>
      <c r="B55" s="25" t="s">
        <v>702</v>
      </c>
      <c r="C55" s="25" t="s">
        <v>29</v>
      </c>
      <c r="D55" s="25" t="s">
        <v>19</v>
      </c>
      <c r="E55" s="25" t="s">
        <v>49</v>
      </c>
      <c r="F55" s="25" t="s">
        <v>68</v>
      </c>
      <c r="G55" s="26" t="s">
        <v>1152</v>
      </c>
      <c r="H55" s="26" t="s">
        <v>820</v>
      </c>
      <c r="I55" s="26" t="s">
        <v>975</v>
      </c>
      <c r="J55" s="26" t="s">
        <v>910</v>
      </c>
      <c r="K55" s="26"/>
      <c r="L55" s="26"/>
      <c r="M55" s="26" t="s">
        <v>703</v>
      </c>
      <c r="N55" s="25" t="s">
        <v>100</v>
      </c>
      <c r="O55" s="25" t="s">
        <v>102</v>
      </c>
      <c r="P55" s="25" t="s">
        <v>141</v>
      </c>
      <c r="Q55" s="25"/>
    </row>
    <row r="56" spans="1:17" ht="105" x14ac:dyDescent="0.25">
      <c r="A56" s="25">
        <v>55</v>
      </c>
      <c r="B56" s="25" t="s">
        <v>704</v>
      </c>
      <c r="C56" s="25" t="s">
        <v>26</v>
      </c>
      <c r="D56" s="25" t="s">
        <v>19</v>
      </c>
      <c r="E56" s="25" t="s">
        <v>49</v>
      </c>
      <c r="F56" s="25" t="s">
        <v>68</v>
      </c>
      <c r="G56" s="26" t="s">
        <v>1154</v>
      </c>
      <c r="H56" s="26" t="s">
        <v>822</v>
      </c>
      <c r="I56" s="26" t="s">
        <v>976</v>
      </c>
      <c r="J56" s="26" t="s">
        <v>911</v>
      </c>
      <c r="K56" s="26"/>
      <c r="L56" s="26"/>
      <c r="M56" s="26" t="s">
        <v>705</v>
      </c>
      <c r="N56" s="25" t="s">
        <v>100</v>
      </c>
      <c r="O56" s="25" t="s">
        <v>102</v>
      </c>
      <c r="P56" s="25" t="s">
        <v>142</v>
      </c>
      <c r="Q56" s="25"/>
    </row>
    <row r="57" spans="1:17" ht="90" x14ac:dyDescent="0.25">
      <c r="A57" s="25">
        <v>56</v>
      </c>
      <c r="B57" s="25" t="s">
        <v>706</v>
      </c>
      <c r="C57" s="25" t="s">
        <v>26</v>
      </c>
      <c r="D57" s="25" t="s">
        <v>19</v>
      </c>
      <c r="E57" s="25" t="s">
        <v>49</v>
      </c>
      <c r="F57" s="25" t="s">
        <v>68</v>
      </c>
      <c r="G57" s="26" t="s">
        <v>1156</v>
      </c>
      <c r="H57" s="26" t="s">
        <v>824</v>
      </c>
      <c r="I57" s="26" t="s">
        <v>977</v>
      </c>
      <c r="J57" s="26" t="s">
        <v>912</v>
      </c>
      <c r="K57" s="26"/>
      <c r="L57" s="26"/>
      <c r="M57" s="26" t="s">
        <v>707</v>
      </c>
      <c r="N57" s="25" t="s">
        <v>100</v>
      </c>
      <c r="O57" s="25" t="s">
        <v>102</v>
      </c>
      <c r="P57" s="25" t="s">
        <v>142</v>
      </c>
      <c r="Q57" s="25"/>
    </row>
    <row r="58" spans="1:17" ht="90" x14ac:dyDescent="0.25">
      <c r="A58" s="25">
        <v>57</v>
      </c>
      <c r="B58" s="25" t="s">
        <v>708</v>
      </c>
      <c r="C58" s="25" t="s">
        <v>40</v>
      </c>
      <c r="D58" s="25" t="s">
        <v>19</v>
      </c>
      <c r="E58" s="25" t="s">
        <v>49</v>
      </c>
      <c r="F58" s="25" t="s">
        <v>68</v>
      </c>
      <c r="G58" s="26" t="s">
        <v>1158</v>
      </c>
      <c r="H58" s="26" t="s">
        <v>826</v>
      </c>
      <c r="I58" s="26" t="s">
        <v>978</v>
      </c>
      <c r="J58" s="26" t="s">
        <v>913</v>
      </c>
      <c r="K58" s="26"/>
      <c r="L58" s="26"/>
      <c r="M58" s="26" t="s">
        <v>555</v>
      </c>
      <c r="N58" s="25" t="s">
        <v>100</v>
      </c>
      <c r="O58" s="25" t="s">
        <v>102</v>
      </c>
      <c r="P58" s="25" t="s">
        <v>143</v>
      </c>
      <c r="Q58" s="25"/>
    </row>
    <row r="59" spans="1:17" ht="90" x14ac:dyDescent="0.25">
      <c r="A59" s="25">
        <v>58</v>
      </c>
      <c r="B59" s="25" t="s">
        <v>709</v>
      </c>
      <c r="C59" s="25" t="s">
        <v>40</v>
      </c>
      <c r="D59" s="25" t="s">
        <v>19</v>
      </c>
      <c r="E59" s="25" t="s">
        <v>49</v>
      </c>
      <c r="F59" s="25" t="s">
        <v>68</v>
      </c>
      <c r="G59" s="26" t="s">
        <v>1160</v>
      </c>
      <c r="H59" s="26" t="s">
        <v>828</v>
      </c>
      <c r="I59" s="26" t="s">
        <v>979</v>
      </c>
      <c r="J59" s="26" t="s">
        <v>914</v>
      </c>
      <c r="K59" s="26"/>
      <c r="L59" s="26"/>
      <c r="M59" s="26" t="s">
        <v>710</v>
      </c>
      <c r="N59" s="25" t="s">
        <v>100</v>
      </c>
      <c r="O59" s="25" t="s">
        <v>102</v>
      </c>
      <c r="P59" s="25" t="s">
        <v>143</v>
      </c>
      <c r="Q59" s="25"/>
    </row>
    <row r="60" spans="1:17" ht="90" x14ac:dyDescent="0.25">
      <c r="A60" s="25">
        <v>59</v>
      </c>
      <c r="B60" s="25" t="s">
        <v>711</v>
      </c>
      <c r="C60" s="25" t="s">
        <v>39</v>
      </c>
      <c r="D60" s="25" t="s">
        <v>19</v>
      </c>
      <c r="E60" s="25" t="s">
        <v>49</v>
      </c>
      <c r="F60" s="25" t="s">
        <v>68</v>
      </c>
      <c r="G60" s="26" t="s">
        <v>1162</v>
      </c>
      <c r="H60" s="26" t="s">
        <v>830</v>
      </c>
      <c r="I60" s="26" t="s">
        <v>980</v>
      </c>
      <c r="J60" s="26" t="s">
        <v>915</v>
      </c>
      <c r="K60" s="26"/>
      <c r="L60" s="26"/>
      <c r="M60" s="26" t="s">
        <v>712</v>
      </c>
      <c r="N60" s="25" t="s">
        <v>100</v>
      </c>
      <c r="O60" s="25" t="s">
        <v>102</v>
      </c>
      <c r="P60" s="25" t="s">
        <v>144</v>
      </c>
      <c r="Q60" s="25"/>
    </row>
    <row r="61" spans="1:17" ht="90" x14ac:dyDescent="0.25">
      <c r="A61" s="25">
        <v>60</v>
      </c>
      <c r="B61" s="25" t="s">
        <v>713</v>
      </c>
      <c r="C61" s="25" t="s">
        <v>39</v>
      </c>
      <c r="D61" s="25" t="s">
        <v>19</v>
      </c>
      <c r="E61" s="25" t="s">
        <v>49</v>
      </c>
      <c r="F61" s="25" t="s">
        <v>68</v>
      </c>
      <c r="G61" s="26" t="s">
        <v>1164</v>
      </c>
      <c r="H61" s="26" t="s">
        <v>832</v>
      </c>
      <c r="I61" s="26" t="s">
        <v>981</v>
      </c>
      <c r="J61" s="26" t="s">
        <v>916</v>
      </c>
      <c r="K61" s="26"/>
      <c r="L61" s="26"/>
      <c r="M61" s="26" t="s">
        <v>714</v>
      </c>
      <c r="N61" s="25" t="s">
        <v>100</v>
      </c>
      <c r="O61" s="25" t="s">
        <v>102</v>
      </c>
      <c r="P61" s="25" t="s">
        <v>144</v>
      </c>
      <c r="Q61" s="25"/>
    </row>
    <row r="62" spans="1:17" ht="90" x14ac:dyDescent="0.25">
      <c r="A62" s="25">
        <v>61</v>
      </c>
      <c r="B62" s="25" t="s">
        <v>715</v>
      </c>
      <c r="C62" s="25" t="s">
        <v>37</v>
      </c>
      <c r="D62" s="25" t="s">
        <v>19</v>
      </c>
      <c r="E62" s="25" t="s">
        <v>49</v>
      </c>
      <c r="F62" s="25" t="s">
        <v>68</v>
      </c>
      <c r="G62" s="26" t="s">
        <v>1166</v>
      </c>
      <c r="H62" s="26" t="s">
        <v>834</v>
      </c>
      <c r="I62" s="26" t="s">
        <v>982</v>
      </c>
      <c r="J62" s="26" t="s">
        <v>917</v>
      </c>
      <c r="K62" s="26"/>
      <c r="L62" s="26"/>
      <c r="M62" s="26" t="s">
        <v>716</v>
      </c>
      <c r="N62" s="25" t="s">
        <v>100</v>
      </c>
      <c r="O62" s="25" t="s">
        <v>102</v>
      </c>
      <c r="P62" s="25" t="s">
        <v>145</v>
      </c>
      <c r="Q62" s="25"/>
    </row>
    <row r="63" spans="1:17" ht="90" x14ac:dyDescent="0.25">
      <c r="A63" s="25">
        <v>62</v>
      </c>
      <c r="B63" s="25" t="s">
        <v>717</v>
      </c>
      <c r="C63" s="25" t="s">
        <v>37</v>
      </c>
      <c r="D63" s="25" t="s">
        <v>19</v>
      </c>
      <c r="E63" s="25" t="s">
        <v>49</v>
      </c>
      <c r="F63" s="25" t="s">
        <v>68</v>
      </c>
      <c r="G63" s="26" t="s">
        <v>1168</v>
      </c>
      <c r="H63" s="26" t="s">
        <v>836</v>
      </c>
      <c r="I63" s="26" t="s">
        <v>983</v>
      </c>
      <c r="J63" s="26" t="s">
        <v>918</v>
      </c>
      <c r="K63" s="26"/>
      <c r="L63" s="26"/>
      <c r="M63" s="26" t="s">
        <v>718</v>
      </c>
      <c r="N63" s="25" t="s">
        <v>100</v>
      </c>
      <c r="O63" s="25" t="s">
        <v>102</v>
      </c>
      <c r="P63" s="25" t="s">
        <v>145</v>
      </c>
      <c r="Q63" s="25"/>
    </row>
    <row r="64" spans="1:17" ht="90" x14ac:dyDescent="0.25">
      <c r="A64" s="25">
        <v>63</v>
      </c>
      <c r="B64" s="25" t="s">
        <v>719</v>
      </c>
      <c r="C64" s="25" t="s">
        <v>38</v>
      </c>
      <c r="D64" s="25" t="s">
        <v>19</v>
      </c>
      <c r="E64" s="25" t="s">
        <v>49</v>
      </c>
      <c r="F64" s="25" t="s">
        <v>68</v>
      </c>
      <c r="G64" s="26" t="s">
        <v>1170</v>
      </c>
      <c r="H64" s="26" t="s">
        <v>838</v>
      </c>
      <c r="I64" s="26" t="s">
        <v>984</v>
      </c>
      <c r="J64" s="26" t="s">
        <v>919</v>
      </c>
      <c r="K64" s="26"/>
      <c r="L64" s="26"/>
      <c r="M64" s="26" t="s">
        <v>720</v>
      </c>
      <c r="N64" s="25" t="s">
        <v>100</v>
      </c>
      <c r="O64" s="25" t="s">
        <v>102</v>
      </c>
      <c r="P64" s="25" t="s">
        <v>146</v>
      </c>
      <c r="Q64" s="25"/>
    </row>
    <row r="65" spans="1:17" ht="120" x14ac:dyDescent="0.25">
      <c r="A65" s="25">
        <v>64</v>
      </c>
      <c r="B65" s="25" t="s">
        <v>721</v>
      </c>
      <c r="C65" s="25" t="s">
        <v>38</v>
      </c>
      <c r="D65" s="25" t="s">
        <v>19</v>
      </c>
      <c r="E65" s="25" t="s">
        <v>49</v>
      </c>
      <c r="F65" s="25" t="s">
        <v>68</v>
      </c>
      <c r="G65" s="26" t="s">
        <v>1172</v>
      </c>
      <c r="H65" s="26" t="s">
        <v>840</v>
      </c>
      <c r="I65" s="26" t="s">
        <v>985</v>
      </c>
      <c r="J65" s="26" t="s">
        <v>920</v>
      </c>
      <c r="K65" s="26"/>
      <c r="L65" s="26"/>
      <c r="M65" s="26" t="s">
        <v>722</v>
      </c>
      <c r="N65" s="25" t="s">
        <v>100</v>
      </c>
      <c r="O65" s="25" t="s">
        <v>102</v>
      </c>
      <c r="P65" s="25" t="s">
        <v>146</v>
      </c>
      <c r="Q65" s="25"/>
    </row>
    <row r="66" spans="1:17" ht="90" x14ac:dyDescent="0.25">
      <c r="A66" s="25">
        <v>65</v>
      </c>
      <c r="B66" s="25" t="s">
        <v>723</v>
      </c>
      <c r="C66" s="25" t="s">
        <v>36</v>
      </c>
      <c r="D66" s="25" t="s">
        <v>19</v>
      </c>
      <c r="E66" s="25" t="s">
        <v>49</v>
      </c>
      <c r="F66" s="25" t="s">
        <v>68</v>
      </c>
      <c r="G66" s="26" t="s">
        <v>1174</v>
      </c>
      <c r="H66" s="26" t="s">
        <v>842</v>
      </c>
      <c r="I66" s="26" t="s">
        <v>986</v>
      </c>
      <c r="J66" s="26" t="s">
        <v>921</v>
      </c>
      <c r="K66" s="26"/>
      <c r="L66" s="26"/>
      <c r="M66" s="26" t="s">
        <v>724</v>
      </c>
      <c r="N66" s="25" t="s">
        <v>100</v>
      </c>
      <c r="O66" s="25" t="s">
        <v>102</v>
      </c>
      <c r="P66" s="25" t="s">
        <v>147</v>
      </c>
      <c r="Q66" s="25"/>
    </row>
    <row r="67" spans="1:17" ht="90" x14ac:dyDescent="0.25">
      <c r="A67" s="25">
        <v>66</v>
      </c>
      <c r="B67" s="25" t="s">
        <v>725</v>
      </c>
      <c r="C67" s="25" t="s">
        <v>36</v>
      </c>
      <c r="D67" s="25" t="s">
        <v>19</v>
      </c>
      <c r="E67" s="25" t="s">
        <v>49</v>
      </c>
      <c r="F67" s="25" t="s">
        <v>68</v>
      </c>
      <c r="G67" s="26" t="s">
        <v>1176</v>
      </c>
      <c r="H67" s="26" t="s">
        <v>844</v>
      </c>
      <c r="I67" s="26" t="s">
        <v>987</v>
      </c>
      <c r="J67" s="26" t="s">
        <v>922</v>
      </c>
      <c r="K67" s="26"/>
      <c r="L67" s="26"/>
      <c r="M67" s="26" t="s">
        <v>726</v>
      </c>
      <c r="N67" s="25" t="s">
        <v>100</v>
      </c>
      <c r="O67" s="25" t="s">
        <v>102</v>
      </c>
      <c r="P67" s="25" t="s">
        <v>147</v>
      </c>
      <c r="Q67" s="25"/>
    </row>
    <row r="68" spans="1:17" ht="90" x14ac:dyDescent="0.25">
      <c r="A68" s="25">
        <v>67</v>
      </c>
      <c r="B68" s="25" t="s">
        <v>727</v>
      </c>
      <c r="C68" s="25" t="s">
        <v>35</v>
      </c>
      <c r="D68" s="25" t="s">
        <v>19</v>
      </c>
      <c r="E68" s="25" t="s">
        <v>49</v>
      </c>
      <c r="F68" s="25" t="s">
        <v>68</v>
      </c>
      <c r="G68" s="26" t="s">
        <v>1178</v>
      </c>
      <c r="H68" s="26" t="s">
        <v>846</v>
      </c>
      <c r="I68" s="26" t="s">
        <v>988</v>
      </c>
      <c r="J68" s="26" t="s">
        <v>923</v>
      </c>
      <c r="K68" s="26"/>
      <c r="L68" s="26"/>
      <c r="M68" s="26" t="s">
        <v>707</v>
      </c>
      <c r="N68" s="25" t="s">
        <v>100</v>
      </c>
      <c r="O68" s="25" t="s">
        <v>102</v>
      </c>
      <c r="P68" s="25" t="s">
        <v>148</v>
      </c>
      <c r="Q68" s="25"/>
    </row>
    <row r="69" spans="1:17" ht="90" x14ac:dyDescent="0.25">
      <c r="A69" s="25">
        <v>68</v>
      </c>
      <c r="B69" s="25" t="s">
        <v>728</v>
      </c>
      <c r="C69" s="25" t="s">
        <v>35</v>
      </c>
      <c r="D69" s="25" t="s">
        <v>19</v>
      </c>
      <c r="E69" s="25" t="s">
        <v>49</v>
      </c>
      <c r="F69" s="25" t="s">
        <v>68</v>
      </c>
      <c r="G69" s="26" t="s">
        <v>1180</v>
      </c>
      <c r="H69" s="26" t="s">
        <v>848</v>
      </c>
      <c r="I69" s="26" t="s">
        <v>989</v>
      </c>
      <c r="J69" s="26" t="s">
        <v>924</v>
      </c>
      <c r="K69" s="26"/>
      <c r="L69" s="26"/>
      <c r="M69" s="26" t="s">
        <v>729</v>
      </c>
      <c r="N69" s="25" t="s">
        <v>100</v>
      </c>
      <c r="O69" s="25" t="s">
        <v>102</v>
      </c>
      <c r="P69" s="25" t="s">
        <v>148</v>
      </c>
      <c r="Q69" s="25"/>
    </row>
    <row r="70" spans="1:17" ht="240" x14ac:dyDescent="0.25">
      <c r="A70" s="25">
        <v>69</v>
      </c>
      <c r="B70" s="25" t="s">
        <v>626</v>
      </c>
      <c r="C70" s="25" t="s">
        <v>42</v>
      </c>
      <c r="D70" s="25" t="s">
        <v>41</v>
      </c>
      <c r="E70" s="25" t="s">
        <v>50</v>
      </c>
      <c r="F70" s="25" t="s">
        <v>69</v>
      </c>
      <c r="G70" s="26" t="s">
        <v>1182</v>
      </c>
      <c r="H70" s="26" t="s">
        <v>850</v>
      </c>
      <c r="I70" s="26" t="s">
        <v>990</v>
      </c>
      <c r="J70" s="26" t="s">
        <v>925</v>
      </c>
      <c r="K70" s="26"/>
      <c r="L70" s="26"/>
      <c r="M70" s="26" t="s">
        <v>643</v>
      </c>
      <c r="N70" s="25" t="s">
        <v>101</v>
      </c>
      <c r="O70" s="25" t="s">
        <v>102</v>
      </c>
      <c r="P70" s="25" t="s">
        <v>149</v>
      </c>
      <c r="Q70" s="2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Feuil1</vt:lpstr>
      <vt:lpstr>Feuil2</vt:lpstr>
      <vt:lpstr>Feuil3</vt:lpstr>
      <vt:lpstr>Feuil4-Flutter_Build</vt:lpstr>
      <vt:lpstr>Feuil4-Eyeview_Build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2026-02-18T02:48:03Z</dcterms:modified>
</cp:coreProperties>
</file>